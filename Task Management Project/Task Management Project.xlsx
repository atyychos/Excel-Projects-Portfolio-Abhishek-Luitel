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Excell Master Board\"/>
    </mc:Choice>
  </mc:AlternateContent>
  <xr:revisionPtr revIDLastSave="0" documentId="13_ncr:1_{D6B47F53-F769-4A45-9460-09176BBBB93E}" xr6:coauthVersionLast="47" xr6:coauthVersionMax="47" xr10:uidLastSave="{00000000-0000-0000-0000-000000000000}"/>
  <bookViews>
    <workbookView xWindow="-108" yWindow="-108" windowWidth="23256" windowHeight="13176" xr2:uid="{1A5F5666-BE82-F64F-A80E-7F153D5D7E43}"/>
  </bookViews>
  <sheets>
    <sheet name="Dashboard" sheetId="4" r:id="rId1"/>
    <sheet name="Support Sheet" sheetId="2" r:id="rId2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2" l="1"/>
  <c r="I5" i="2"/>
  <c r="I6" i="2"/>
  <c r="I3" i="2"/>
  <c r="F4" i="2"/>
  <c r="F5" i="2"/>
  <c r="F6" i="2"/>
  <c r="F7" i="2"/>
  <c r="F3" i="2"/>
  <c r="C6" i="2"/>
  <c r="C4" i="2"/>
  <c r="C5" i="2"/>
  <c r="C3" i="2"/>
  <c r="J15" i="4"/>
  <c r="K3" i="2" s="1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</calcChain>
</file>

<file path=xl/sharedStrings.xml><?xml version="1.0" encoding="utf-8"?>
<sst xmlns="http://schemas.openxmlformats.org/spreadsheetml/2006/main" count="120" uniqueCount="71">
  <si>
    <t>Task Name</t>
  </si>
  <si>
    <t>Task ID</t>
  </si>
  <si>
    <t>Start Date</t>
  </si>
  <si>
    <t>Due Date</t>
  </si>
  <si>
    <t>Status</t>
  </si>
  <si>
    <t>Overdue?</t>
  </si>
  <si>
    <t>Task Owner</t>
  </si>
  <si>
    <t>Comments</t>
  </si>
  <si>
    <t>In Progress</t>
  </si>
  <si>
    <t>Not Started</t>
  </si>
  <si>
    <t>Owners</t>
  </si>
  <si>
    <t>Task Duration</t>
  </si>
  <si>
    <t>Overdue</t>
  </si>
  <si>
    <t>T001</t>
  </si>
  <si>
    <t>Prepare Q4 Financial Report</t>
  </si>
  <si>
    <t>Completed</t>
  </si>
  <si>
    <t>Submitted to CFO for review.</t>
  </si>
  <si>
    <t>T002</t>
  </si>
  <si>
    <t>Draft findings ready; awaiting survey data.</t>
  </si>
  <si>
    <t>T003</t>
  </si>
  <si>
    <t>Redesign Website Homepage</t>
  </si>
  <si>
    <t>Wireframes approved; development in progress.</t>
  </si>
  <si>
    <t>T004</t>
  </si>
  <si>
    <t>Update Sales Forecast for FY2026</t>
  </si>
  <si>
    <t>Final version shared with Sales Director.</t>
  </si>
  <si>
    <t>T005</t>
  </si>
  <si>
    <t>Implement CRM Upgrade</t>
  </si>
  <si>
    <t>Vendor confirmed delivery timeline.</t>
  </si>
  <si>
    <t>T006</t>
  </si>
  <si>
    <t>Plan Annual Company Retreat</t>
  </si>
  <si>
    <t>Venue options being shortlisted.</t>
  </si>
  <si>
    <t>T007</t>
  </si>
  <si>
    <t>Updated contracts aligned with new regulation.</t>
  </si>
  <si>
    <t>T008</t>
  </si>
  <si>
    <t>Launch Social Media Campaign</t>
  </si>
  <si>
    <t>Marketing</t>
  </si>
  <si>
    <t>Initial creatives approved, campaign scheduled.</t>
  </si>
  <si>
    <t>T009</t>
  </si>
  <si>
    <t>Recruit New Data Analyst</t>
  </si>
  <si>
    <t>First round of interviews completed.</t>
  </si>
  <si>
    <t>T010</t>
  </si>
  <si>
    <t>Survey questions finalized.</t>
  </si>
  <si>
    <t>T011</t>
  </si>
  <si>
    <t>Prepare Investor Presentation</t>
  </si>
  <si>
    <t>Draft slides ready; awaiting financial highlights.</t>
  </si>
  <si>
    <t>T012</t>
  </si>
  <si>
    <t>External consultant engagement pending.</t>
  </si>
  <si>
    <t>T013</t>
  </si>
  <si>
    <t>Evaluate Vendor Proposals for Logistics</t>
  </si>
  <si>
    <t>Three proposals shortlisted for management review.</t>
  </si>
  <si>
    <t>T014</t>
  </si>
  <si>
    <t>Draft Q1 Marketing Strategy</t>
  </si>
  <si>
    <t>Strategy</t>
  </si>
  <si>
    <t>Kick-off meeting scheduled next week.</t>
  </si>
  <si>
    <t>T015</t>
  </si>
  <si>
    <t>Audit Internal Expense Reports</t>
  </si>
  <si>
    <t>Waiting for submission of all departmental reports.</t>
  </si>
  <si>
    <t>Conduct Market Research</t>
  </si>
  <si>
    <t>Review Legal for Contracts</t>
  </si>
  <si>
    <t>Conduct Employee Survey</t>
  </si>
  <si>
    <t>Finance</t>
  </si>
  <si>
    <t>HR</t>
  </si>
  <si>
    <t>Upgrade Infrastructure</t>
  </si>
  <si>
    <t>Count</t>
  </si>
  <si>
    <t>Total</t>
  </si>
  <si>
    <t>Team</t>
  </si>
  <si>
    <t>Abhishek Luitel</t>
  </si>
  <si>
    <t>Sudeep Bhattrai</t>
  </si>
  <si>
    <t>Piyush Thapa</t>
  </si>
  <si>
    <t>Ankit Dhimal</t>
  </si>
  <si>
    <t>Sujal Karki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</si>
</sst>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Days&quot;"/>
  </numFmts>
  <fonts count="7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4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4">
    <cellStyle name="Hyperlink 2" xfId="3" xr:uid="{D116B123-67C6-344C-8E97-773FA34E970D}"/>
    <cellStyle name="Normal" xfId="0" builtinId="0"/>
    <cellStyle name="Normal 2" xfId="1" xr:uid="{A1221B63-1151-9945-AD17-D34A8F7994D7}"/>
    <cellStyle name="Normal 2 2" xfId="2" xr:uid="{6371BA46-78D2-CF43-B416-26A12EFA2F80}"/>
  </cellStyles>
  <dxfs count="7">
    <dxf>
      <numFmt numFmtId="0" formatCode="General"/>
      <alignment horizontal="center" vertical="bottom" textRotation="0" wrapText="0" indent="0" justifyLastLine="0" shrinkToFit="0" readingOrder="0"/>
    </dxf>
    <dxf>
      <numFmt numFmtId="164" formatCode="#&quot; Days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22577A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2577A"/>
      <color rgb="FFC7F9CC"/>
      <color rgb="FFC0E6F5"/>
      <color rgb="FF57CC99"/>
      <color rgb="FF80ED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Tasks By</a:t>
            </a:r>
            <a:r>
              <a:rPr lang="en-US" baseline="0"/>
              <a:t> Owner</a:t>
            </a:r>
            <a:endParaRPr lang="en-US"/>
          </a:p>
        </c:rich>
      </c:tx>
      <c:layout>
        <c:manualLayout>
          <c:xMode val="edge"/>
          <c:yMode val="edge"/>
          <c:x val="0.39521946774428574"/>
          <c:y val="7.33332986876804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'Support Sheet'!$F$2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Sheet'!$E$3:$E$7</c:f>
              <c:strCache>
                <c:ptCount val="5"/>
                <c:pt idx="0">
                  <c:v>Abhishek Luitel</c:v>
                </c:pt>
                <c:pt idx="1">
                  <c:v>Sujal Karki</c:v>
                </c:pt>
                <c:pt idx="2">
                  <c:v>Ankit Dhimal</c:v>
                </c:pt>
                <c:pt idx="3">
                  <c:v>Sudeep Bhattrai</c:v>
                </c:pt>
                <c:pt idx="4">
                  <c:v>Piyush Thapa</c:v>
                </c:pt>
              </c:strCache>
            </c:strRef>
          </c:cat>
          <c:val>
            <c:numRef>
              <c:f>'Support Sheet'!$F$3:$F$7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7-42D2-97F9-BF86ADFF5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845595663"/>
        <c:axId val="1845596623"/>
      </c:barChart>
      <c:catAx>
        <c:axId val="1845595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596623"/>
        <c:crosses val="autoZero"/>
        <c:auto val="1"/>
        <c:lblAlgn val="ctr"/>
        <c:lblOffset val="100"/>
        <c:noMultiLvlLbl val="0"/>
      </c:catAx>
      <c:valAx>
        <c:axId val="18455966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4559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Tasks by Team</a:t>
            </a:r>
          </a:p>
        </c:rich>
      </c:tx>
      <c:layout>
        <c:manualLayout>
          <c:xMode val="edge"/>
          <c:yMode val="edge"/>
          <c:x val="0.3912154196003092"/>
          <c:y val="7.5445783590601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'Support Sheet'!$H$3:$H$6</c:f>
              <c:strCache>
                <c:ptCount val="4"/>
                <c:pt idx="0">
                  <c:v>Finance</c:v>
                </c:pt>
                <c:pt idx="1">
                  <c:v>Strategy</c:v>
                </c:pt>
                <c:pt idx="2">
                  <c:v>HR</c:v>
                </c:pt>
                <c:pt idx="3">
                  <c:v>Marketing</c:v>
                </c:pt>
              </c:strCache>
            </c:strRef>
          </c:cat>
          <c:val>
            <c:numRef>
              <c:f>'Support Sheet'!$I$3:$I$6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0-4CDD-B39C-CB4649D85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2000656735"/>
        <c:axId val="2000655295"/>
      </c:barChart>
      <c:catAx>
        <c:axId val="2000656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655295"/>
        <c:crosses val="autoZero"/>
        <c:auto val="1"/>
        <c:lblAlgn val="ctr"/>
        <c:lblOffset val="100"/>
        <c:noMultiLvlLbl val="0"/>
      </c:catAx>
      <c:valAx>
        <c:axId val="2000655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065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0</xdr:row>
      <xdr:rowOff>83126</xdr:rowOff>
    </xdr:from>
    <xdr:to>
      <xdr:col>11</xdr:col>
      <xdr:colOff>263236</xdr:colOff>
      <xdr:row>3</xdr:row>
      <xdr:rowOff>30479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449ED65C-5C2F-4023-AE16-EE7C3FAB56B1}"/>
            </a:ext>
          </a:extLst>
        </xdr:cNvPr>
        <xdr:cNvSpPr/>
      </xdr:nvSpPr>
      <xdr:spPr>
        <a:xfrm>
          <a:off x="293024" y="83126"/>
          <a:ext cx="12404667" cy="653935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3600" b="1">
              <a:solidFill>
                <a:schemeClr val="lt1"/>
              </a:solidFill>
              <a:latin typeface="+mn-lt"/>
              <a:ea typeface="+mn-ea"/>
              <a:cs typeface="+mn-cs"/>
            </a:rPr>
            <a:t>Task</a:t>
          </a:r>
          <a:r>
            <a:rPr lang="en-US" sz="36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Manager Tracker </a:t>
          </a:r>
          <a:endParaRPr lang="en-US" sz="3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29788</xdr:colOff>
      <xdr:row>3</xdr:row>
      <xdr:rowOff>131616</xdr:rowOff>
    </xdr:from>
    <xdr:to>
      <xdr:col>2</xdr:col>
      <xdr:colOff>637311</xdr:colOff>
      <xdr:row>7</xdr:row>
      <xdr:rowOff>103910</xdr:rowOff>
    </xdr:to>
    <xdr:sp macro="" textlink="">
      <xdr:nvSpPr>
        <xdr:cNvPr id="3" name="Rounded Rectangle 14">
          <a:extLst>
            <a:ext uri="{FF2B5EF4-FFF2-40B4-BE49-F238E27FC236}">
              <a16:creationId xmlns:a16="http://schemas.microsoft.com/office/drawing/2014/main" id="{0AD5A00C-AD58-BFCC-E009-00FB0F8EB455}"/>
            </a:ext>
          </a:extLst>
        </xdr:cNvPr>
        <xdr:cNvSpPr/>
      </xdr:nvSpPr>
      <xdr:spPr>
        <a:xfrm>
          <a:off x="299952" y="838198"/>
          <a:ext cx="1237904" cy="775857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3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743297</xdr:colOff>
      <xdr:row>3</xdr:row>
      <xdr:rowOff>145471</xdr:rowOff>
    </xdr:from>
    <xdr:to>
      <xdr:col>2</xdr:col>
      <xdr:colOff>1981201</xdr:colOff>
      <xdr:row>7</xdr:row>
      <xdr:rowOff>117765</xdr:rowOff>
    </xdr:to>
    <xdr:sp macro="" textlink="">
      <xdr:nvSpPr>
        <xdr:cNvPr id="4" name="Rounded Rectangle 14">
          <a:extLst>
            <a:ext uri="{FF2B5EF4-FFF2-40B4-BE49-F238E27FC236}">
              <a16:creationId xmlns:a16="http://schemas.microsoft.com/office/drawing/2014/main" id="{8637F0D9-7BA5-9F72-D7E8-2D4B80678829}"/>
            </a:ext>
          </a:extLst>
        </xdr:cNvPr>
        <xdr:cNvSpPr/>
      </xdr:nvSpPr>
      <xdr:spPr>
        <a:xfrm>
          <a:off x="1643842" y="852053"/>
          <a:ext cx="1237904" cy="775857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3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29788</xdr:colOff>
      <xdr:row>8</xdr:row>
      <xdr:rowOff>27708</xdr:rowOff>
    </xdr:from>
    <xdr:to>
      <xdr:col>2</xdr:col>
      <xdr:colOff>637311</xdr:colOff>
      <xdr:row>12</xdr:row>
      <xdr:rowOff>1</xdr:rowOff>
    </xdr:to>
    <xdr:sp macro="" textlink="">
      <xdr:nvSpPr>
        <xdr:cNvPr id="6" name="Rounded Rectangle 14">
          <a:extLst>
            <a:ext uri="{FF2B5EF4-FFF2-40B4-BE49-F238E27FC236}">
              <a16:creationId xmlns:a16="http://schemas.microsoft.com/office/drawing/2014/main" id="{B781DA61-AA9C-5017-C6EF-CEDB61243734}"/>
            </a:ext>
          </a:extLst>
        </xdr:cNvPr>
        <xdr:cNvSpPr/>
      </xdr:nvSpPr>
      <xdr:spPr>
        <a:xfrm>
          <a:off x="299952" y="1738744"/>
          <a:ext cx="1237904" cy="775857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3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757153</xdr:colOff>
      <xdr:row>8</xdr:row>
      <xdr:rowOff>34635</xdr:rowOff>
    </xdr:from>
    <xdr:to>
      <xdr:col>2</xdr:col>
      <xdr:colOff>1995057</xdr:colOff>
      <xdr:row>12</xdr:row>
      <xdr:rowOff>6928</xdr:rowOff>
    </xdr:to>
    <xdr:sp macro="" textlink="">
      <xdr:nvSpPr>
        <xdr:cNvPr id="7" name="Rounded Rectangle 14">
          <a:extLst>
            <a:ext uri="{FF2B5EF4-FFF2-40B4-BE49-F238E27FC236}">
              <a16:creationId xmlns:a16="http://schemas.microsoft.com/office/drawing/2014/main" id="{87E636EA-48FC-BC45-F969-1C8C63D41276}"/>
            </a:ext>
          </a:extLst>
        </xdr:cNvPr>
        <xdr:cNvSpPr/>
      </xdr:nvSpPr>
      <xdr:spPr>
        <a:xfrm>
          <a:off x="1657698" y="1745671"/>
          <a:ext cx="1237904" cy="775857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3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2142605</xdr:colOff>
      <xdr:row>3</xdr:row>
      <xdr:rowOff>159326</xdr:rowOff>
    </xdr:from>
    <xdr:to>
      <xdr:col>6</xdr:col>
      <xdr:colOff>803562</xdr:colOff>
      <xdr:row>12</xdr:row>
      <xdr:rowOff>55418</xdr:rowOff>
    </xdr:to>
    <xdr:sp macro="" textlink="">
      <xdr:nvSpPr>
        <xdr:cNvPr id="8" name="Rounded Rectangle 14">
          <a:extLst>
            <a:ext uri="{FF2B5EF4-FFF2-40B4-BE49-F238E27FC236}">
              <a16:creationId xmlns:a16="http://schemas.microsoft.com/office/drawing/2014/main" id="{EA333011-6F1E-CE42-0317-84133C281E38}"/>
            </a:ext>
          </a:extLst>
        </xdr:cNvPr>
        <xdr:cNvSpPr/>
      </xdr:nvSpPr>
      <xdr:spPr>
        <a:xfrm>
          <a:off x="3043150" y="865908"/>
          <a:ext cx="3641667" cy="1704110"/>
        </a:xfrm>
        <a:prstGeom prst="roundRect">
          <a:avLst>
            <a:gd name="adj" fmla="val 10985"/>
          </a:avLst>
        </a:prstGeom>
        <a:solidFill>
          <a:srgbClr val="22577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3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1149927</xdr:colOff>
      <xdr:row>3</xdr:row>
      <xdr:rowOff>131619</xdr:rowOff>
    </xdr:from>
    <xdr:to>
      <xdr:col>11</xdr:col>
      <xdr:colOff>256307</xdr:colOff>
      <xdr:row>12</xdr:row>
      <xdr:rowOff>27711</xdr:rowOff>
    </xdr:to>
    <xdr:sp macro="" textlink="">
      <xdr:nvSpPr>
        <xdr:cNvPr id="10" name="Rounded Rectangle 14">
          <a:extLst>
            <a:ext uri="{FF2B5EF4-FFF2-40B4-BE49-F238E27FC236}">
              <a16:creationId xmlns:a16="http://schemas.microsoft.com/office/drawing/2014/main" id="{99EF5364-44AC-8D32-45AD-67543EB32E41}"/>
            </a:ext>
          </a:extLst>
        </xdr:cNvPr>
        <xdr:cNvSpPr/>
      </xdr:nvSpPr>
      <xdr:spPr>
        <a:xfrm>
          <a:off x="10674927" y="838201"/>
          <a:ext cx="2015835" cy="1704110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3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140623</xdr:colOff>
      <xdr:row>3</xdr:row>
      <xdr:rowOff>159326</xdr:rowOff>
    </xdr:from>
    <xdr:to>
      <xdr:col>10</xdr:col>
      <xdr:colOff>990599</xdr:colOff>
      <xdr:row>12</xdr:row>
      <xdr:rowOff>55418</xdr:rowOff>
    </xdr:to>
    <xdr:sp macro="" textlink="">
      <xdr:nvSpPr>
        <xdr:cNvPr id="11" name="Rounded Rectangle 14">
          <a:extLst>
            <a:ext uri="{FF2B5EF4-FFF2-40B4-BE49-F238E27FC236}">
              <a16:creationId xmlns:a16="http://schemas.microsoft.com/office/drawing/2014/main" id="{96FE2766-CEBE-1115-9B9F-BEB8B5B0F75C}"/>
            </a:ext>
          </a:extLst>
        </xdr:cNvPr>
        <xdr:cNvSpPr/>
      </xdr:nvSpPr>
      <xdr:spPr>
        <a:xfrm>
          <a:off x="6873932" y="865908"/>
          <a:ext cx="3641667" cy="1704110"/>
        </a:xfrm>
        <a:prstGeom prst="roundRect">
          <a:avLst>
            <a:gd name="adj" fmla="val 10985"/>
          </a:avLst>
        </a:prstGeom>
        <a:solidFill>
          <a:srgbClr val="22577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3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152399</xdr:colOff>
      <xdr:row>3</xdr:row>
      <xdr:rowOff>173182</xdr:rowOff>
    </xdr:from>
    <xdr:to>
      <xdr:col>2</xdr:col>
      <xdr:colOff>595745</xdr:colOff>
      <xdr:row>5</xdr:row>
      <xdr:rowOff>69272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2E1DA8E-6B87-9B61-9FF8-9B1243573909}"/>
            </a:ext>
          </a:extLst>
        </xdr:cNvPr>
        <xdr:cNvSpPr txBox="1"/>
      </xdr:nvSpPr>
      <xdr:spPr>
        <a:xfrm>
          <a:off x="422563" y="879764"/>
          <a:ext cx="1073727" cy="29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Completed</a:t>
          </a:r>
        </a:p>
      </xdr:txBody>
    </xdr:sp>
    <xdr:clientData/>
  </xdr:twoCellAnchor>
  <xdr:twoCellAnchor>
    <xdr:from>
      <xdr:col>1</xdr:col>
      <xdr:colOff>103908</xdr:colOff>
      <xdr:row>5</xdr:row>
      <xdr:rowOff>41563</xdr:rowOff>
    </xdr:from>
    <xdr:to>
      <xdr:col>2</xdr:col>
      <xdr:colOff>547254</xdr:colOff>
      <xdr:row>7</xdr:row>
      <xdr:rowOff>41563</xdr:rowOff>
    </xdr:to>
    <xdr:sp macro="" textlink="'Support Sheet'!C3">
      <xdr:nvSpPr>
        <xdr:cNvPr id="13" name="TextBox 12">
          <a:extLst>
            <a:ext uri="{FF2B5EF4-FFF2-40B4-BE49-F238E27FC236}">
              <a16:creationId xmlns:a16="http://schemas.microsoft.com/office/drawing/2014/main" id="{45D0C835-B562-F172-82B9-5515BBC7CBD1}"/>
            </a:ext>
          </a:extLst>
        </xdr:cNvPr>
        <xdr:cNvSpPr txBox="1"/>
      </xdr:nvSpPr>
      <xdr:spPr>
        <a:xfrm>
          <a:off x="374072" y="1149927"/>
          <a:ext cx="1073727" cy="4017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3DDE331-22DC-484B-91F5-A19399B6B375}" type="TxLink">
            <a:rPr lang="en-US" sz="36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7</a:t>
          </a:fld>
          <a:endParaRPr lang="en-US" sz="3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872836</xdr:colOff>
      <xdr:row>4</xdr:row>
      <xdr:rowOff>6927</xdr:rowOff>
    </xdr:from>
    <xdr:to>
      <xdr:col>2</xdr:col>
      <xdr:colOff>1946563</xdr:colOff>
      <xdr:row>5</xdr:row>
      <xdr:rowOff>103908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769BD3B-FE87-67FB-793A-764946E1B53E}"/>
            </a:ext>
          </a:extLst>
        </xdr:cNvPr>
        <xdr:cNvSpPr txBox="1"/>
      </xdr:nvSpPr>
      <xdr:spPr>
        <a:xfrm>
          <a:off x="1773381" y="914400"/>
          <a:ext cx="1073727" cy="29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Not</a:t>
          </a:r>
          <a:r>
            <a:rPr lang="en-US" sz="1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Started</a:t>
          </a:r>
          <a:endParaRPr lang="en-US" sz="14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852054</xdr:colOff>
      <xdr:row>5</xdr:row>
      <xdr:rowOff>41563</xdr:rowOff>
    </xdr:from>
    <xdr:to>
      <xdr:col>2</xdr:col>
      <xdr:colOff>1925781</xdr:colOff>
      <xdr:row>7</xdr:row>
      <xdr:rowOff>41563</xdr:rowOff>
    </xdr:to>
    <xdr:sp macro="" textlink="'Support Sheet'!C5">
      <xdr:nvSpPr>
        <xdr:cNvPr id="15" name="TextBox 14">
          <a:extLst>
            <a:ext uri="{FF2B5EF4-FFF2-40B4-BE49-F238E27FC236}">
              <a16:creationId xmlns:a16="http://schemas.microsoft.com/office/drawing/2014/main" id="{FE14DF32-B5F1-F119-11BC-8F4C3F5A249A}"/>
            </a:ext>
          </a:extLst>
        </xdr:cNvPr>
        <xdr:cNvSpPr txBox="1"/>
      </xdr:nvSpPr>
      <xdr:spPr>
        <a:xfrm>
          <a:off x="1752599" y="1149927"/>
          <a:ext cx="1073727" cy="4017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9F02771-E74A-4B30-BF11-F5E42CB99599}" type="TxLink">
            <a:rPr lang="en-US" sz="36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2</a:t>
          </a:fld>
          <a:endParaRPr lang="en-US" sz="3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117763</xdr:colOff>
      <xdr:row>9</xdr:row>
      <xdr:rowOff>124691</xdr:rowOff>
    </xdr:from>
    <xdr:to>
      <xdr:col>2</xdr:col>
      <xdr:colOff>561109</xdr:colOff>
      <xdr:row>11</xdr:row>
      <xdr:rowOff>124690</xdr:rowOff>
    </xdr:to>
    <xdr:sp macro="" textlink="'Support Sheet'!C4">
      <xdr:nvSpPr>
        <xdr:cNvPr id="16" name="TextBox 15">
          <a:extLst>
            <a:ext uri="{FF2B5EF4-FFF2-40B4-BE49-F238E27FC236}">
              <a16:creationId xmlns:a16="http://schemas.microsoft.com/office/drawing/2014/main" id="{F42F164F-4E1D-D07B-83A9-6AB4851D0CCF}"/>
            </a:ext>
          </a:extLst>
        </xdr:cNvPr>
        <xdr:cNvSpPr txBox="1"/>
      </xdr:nvSpPr>
      <xdr:spPr>
        <a:xfrm>
          <a:off x="387927" y="2036618"/>
          <a:ext cx="1073727" cy="4017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BDEF56C-3438-4704-88B3-135F64F44C71}" type="TxLink">
            <a:rPr lang="en-US" sz="36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6</a:t>
          </a:fld>
          <a:endParaRPr lang="en-US" sz="3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152399</xdr:colOff>
      <xdr:row>8</xdr:row>
      <xdr:rowOff>83128</xdr:rowOff>
    </xdr:from>
    <xdr:to>
      <xdr:col>2</xdr:col>
      <xdr:colOff>595745</xdr:colOff>
      <xdr:row>9</xdr:row>
      <xdr:rowOff>180109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DEE41AB-930B-9321-C075-3AB9F18CD1EF}"/>
            </a:ext>
          </a:extLst>
        </xdr:cNvPr>
        <xdr:cNvSpPr txBox="1"/>
      </xdr:nvSpPr>
      <xdr:spPr>
        <a:xfrm>
          <a:off x="422563" y="1794164"/>
          <a:ext cx="1073727" cy="29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In Progress</a:t>
          </a:r>
        </a:p>
      </xdr:txBody>
    </xdr:sp>
    <xdr:clientData/>
  </xdr:twoCellAnchor>
  <xdr:twoCellAnchor>
    <xdr:from>
      <xdr:col>2</xdr:col>
      <xdr:colOff>852054</xdr:colOff>
      <xdr:row>9</xdr:row>
      <xdr:rowOff>145473</xdr:rowOff>
    </xdr:from>
    <xdr:to>
      <xdr:col>2</xdr:col>
      <xdr:colOff>1925781</xdr:colOff>
      <xdr:row>11</xdr:row>
      <xdr:rowOff>145472</xdr:rowOff>
    </xdr:to>
    <xdr:sp macro="" textlink="'Support Sheet'!C6">
      <xdr:nvSpPr>
        <xdr:cNvPr id="18" name="TextBox 17">
          <a:extLst>
            <a:ext uri="{FF2B5EF4-FFF2-40B4-BE49-F238E27FC236}">
              <a16:creationId xmlns:a16="http://schemas.microsoft.com/office/drawing/2014/main" id="{2F64FE33-9F0C-980B-CDD3-EE45E9089981}"/>
            </a:ext>
          </a:extLst>
        </xdr:cNvPr>
        <xdr:cNvSpPr txBox="1"/>
      </xdr:nvSpPr>
      <xdr:spPr>
        <a:xfrm>
          <a:off x="1752599" y="2057400"/>
          <a:ext cx="1073727" cy="4017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78D3EA6-3AB3-4CA5-8617-45277600D4F8}" type="TxLink">
            <a:rPr lang="en-US" sz="3600" b="1">
              <a:solidFill>
                <a:schemeClr val="bg1"/>
              </a:solidFill>
              <a:latin typeface="+mn-lt"/>
              <a:ea typeface="+mn-ea"/>
              <a:cs typeface="+mn-cs"/>
            </a:rPr>
            <a:t>15</a:t>
          </a:fld>
          <a:endParaRPr lang="en-US" sz="3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872836</xdr:colOff>
      <xdr:row>8</xdr:row>
      <xdr:rowOff>83128</xdr:rowOff>
    </xdr:from>
    <xdr:to>
      <xdr:col>2</xdr:col>
      <xdr:colOff>1946563</xdr:colOff>
      <xdr:row>9</xdr:row>
      <xdr:rowOff>180109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60A8FFC-36D6-5F9C-5E06-CB73A5D62FBD}"/>
            </a:ext>
          </a:extLst>
        </xdr:cNvPr>
        <xdr:cNvSpPr txBox="1"/>
      </xdr:nvSpPr>
      <xdr:spPr>
        <a:xfrm>
          <a:off x="1773381" y="1794164"/>
          <a:ext cx="1073727" cy="29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Total Task</a:t>
          </a:r>
        </a:p>
      </xdr:txBody>
    </xdr:sp>
    <xdr:clientData/>
  </xdr:twoCellAnchor>
  <xdr:twoCellAnchor>
    <xdr:from>
      <xdr:col>2</xdr:col>
      <xdr:colOff>2142606</xdr:colOff>
      <xdr:row>3</xdr:row>
      <xdr:rowOff>159327</xdr:rowOff>
    </xdr:from>
    <xdr:to>
      <xdr:col>7</xdr:col>
      <xdr:colOff>207818</xdr:colOff>
      <xdr:row>12</xdr:row>
      <xdr:rowOff>83128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39A458C-23CC-41F0-BAF1-D23FC02CD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189114</xdr:colOff>
      <xdr:row>3</xdr:row>
      <xdr:rowOff>159326</xdr:rowOff>
    </xdr:from>
    <xdr:to>
      <xdr:col>10</xdr:col>
      <xdr:colOff>1101436</xdr:colOff>
      <xdr:row>12</xdr:row>
      <xdr:rowOff>34636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C7B3815-B3BA-40DD-A008-FE2531C90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1427018</xdr:colOff>
      <xdr:row>4</xdr:row>
      <xdr:rowOff>124691</xdr:rowOff>
    </xdr:from>
    <xdr:to>
      <xdr:col>11</xdr:col>
      <xdr:colOff>187036</xdr:colOff>
      <xdr:row>6</xdr:row>
      <xdr:rowOff>159326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5FA63F8-B1A6-0CA5-80FF-2BDC5725E2DD}"/>
            </a:ext>
          </a:extLst>
        </xdr:cNvPr>
        <xdr:cNvSpPr txBox="1"/>
      </xdr:nvSpPr>
      <xdr:spPr>
        <a:xfrm>
          <a:off x="10952018" y="1032164"/>
          <a:ext cx="1669473" cy="436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  <a:latin typeface="+mn-lt"/>
              <a:ea typeface="+mn-ea"/>
              <a:cs typeface="+mn-cs"/>
            </a:rPr>
            <a:t>Overdue Tasks</a:t>
          </a:r>
        </a:p>
      </xdr:txBody>
    </xdr:sp>
    <xdr:clientData/>
  </xdr:twoCellAnchor>
  <xdr:twoCellAnchor>
    <xdr:from>
      <xdr:col>10</xdr:col>
      <xdr:colOff>1551708</xdr:colOff>
      <xdr:row>6</xdr:row>
      <xdr:rowOff>187198</xdr:rowOff>
    </xdr:from>
    <xdr:to>
      <xdr:col>11</xdr:col>
      <xdr:colOff>48491</xdr:colOff>
      <xdr:row>9</xdr:row>
      <xdr:rowOff>173182</xdr:rowOff>
    </xdr:to>
    <xdr:sp macro="" textlink="'Support Sheet'!K3">
      <xdr:nvSpPr>
        <xdr:cNvPr id="23" name="TextBox 22">
          <a:extLst>
            <a:ext uri="{FF2B5EF4-FFF2-40B4-BE49-F238E27FC236}">
              <a16:creationId xmlns:a16="http://schemas.microsoft.com/office/drawing/2014/main" id="{188023D6-9515-A6B9-5D59-B5A438E8C7D2}"/>
            </a:ext>
          </a:extLst>
        </xdr:cNvPr>
        <xdr:cNvSpPr txBox="1"/>
      </xdr:nvSpPr>
      <xdr:spPr>
        <a:xfrm>
          <a:off x="11076708" y="1496453"/>
          <a:ext cx="1406238" cy="588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1CA292E-F483-487E-BEEC-01E99FC5A792}" type="TxLink">
            <a:rPr lang="en-US" sz="6600" b="1">
              <a:solidFill>
                <a:schemeClr val="bg1"/>
              </a:solidFill>
              <a:latin typeface="+mn-lt"/>
              <a:ea typeface="+mn-ea"/>
              <a:cs typeface="+mn-cs"/>
            </a:rPr>
            <a:t>7</a:t>
          </a:fld>
          <a:endParaRPr lang="en-US" sz="6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209322</xdr:colOff>
      <xdr:row>8</xdr:row>
      <xdr:rowOff>129383</xdr:rowOff>
    </xdr:from>
    <xdr:to>
      <xdr:col>2</xdr:col>
      <xdr:colOff>233877</xdr:colOff>
      <xdr:row>14</xdr:row>
      <xdr:rowOff>19213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B906DE83-1341-469D-B7C2-FAEBEEFF31D1}"/>
            </a:ext>
          </a:extLst>
        </xdr:cNvPr>
        <xdr:cNvSpPr/>
      </xdr:nvSpPr>
      <xdr:spPr>
        <a:xfrm>
          <a:off x="209322" y="1719644"/>
          <a:ext cx="1131112" cy="108252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F0D54-255D-4160-AD19-C28DAAA4522C}" name="Table1" displayName="Table1" ref="B14:K29" totalsRowShown="0" headerRowDxfId="2" headerRowCellStyle="Normal 2">
  <autoFilter ref="B14:K29" xr:uid="{BC9F0D54-255D-4160-AD19-C28DAAA4522C}"/>
  <tableColumns count="10">
    <tableColumn id="1" xr3:uid="{BA77D4D2-720A-4330-89FE-8B974FE5D633}" name="Task ID" dataDxfId="6"/>
    <tableColumn id="2" xr3:uid="{9E719175-BF24-4721-BF56-A72DA6ED4777}" name="Task Name"/>
    <tableColumn id="3" xr3:uid="{A190F88B-1339-4870-B97A-BFCB4E239B25}" name="Team"/>
    <tableColumn id="4" xr3:uid="{3A50EC00-0AB6-4603-9959-8F253A1F2A5B}" name="Task Owner"/>
    <tableColumn id="5" xr3:uid="{88321504-47D8-4C47-A14F-5DB4C9F96A25}" name="Start Date" dataDxfId="5"/>
    <tableColumn id="6" xr3:uid="{F1A2EF3D-1967-4119-BB40-350F2DE5D20A}" name="Due Date" dataDxfId="4"/>
    <tableColumn id="7" xr3:uid="{F166865B-4C31-4948-848D-E7BF4062B47A}" name="Task Duration" dataDxfId="1">
      <calculatedColumnFormula>Table1[[#This Row],[Due Date]]-Table1[[#This Row],[Start Date]]</calculatedColumnFormula>
    </tableColumn>
    <tableColumn id="8" xr3:uid="{BE41C9EA-7F50-4F77-9BAA-B443A29AA5D5}" name="Status" dataDxfId="3"/>
    <tableColumn id="9" xr3:uid="{E34A4927-7F7F-4420-B873-B2068B6D01C2}" name="Overdue?" dataDxfId="0">
      <calculatedColumnFormula>AND(Table1[[#This Row],[Status]]&lt;&gt;"Completed",Table1[[#This Row],[Due Date]]&lt;TODAY())</calculatedColumnFormula>
    </tableColumn>
    <tableColumn id="10" xr3:uid="{566F934B-9D4D-42AF-AC2F-542F66EF7C1F}" name="Comment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565C-E58D-E845-893A-5E7880C6E96F}">
  <dimension ref="B1:K29"/>
  <sheetViews>
    <sheetView showGridLines="0" tabSelected="1" zoomScale="110" zoomScaleNormal="110" workbookViewId="0">
      <pane ySplit="14" topLeftCell="A15" activePane="bottomLeft" state="frozen"/>
      <selection pane="bottomLeft" activeCell="A15" sqref="A15"/>
    </sheetView>
  </sheetViews>
  <sheetFormatPr defaultColWidth="11.19921875" defaultRowHeight="15.6" x14ac:dyDescent="0.3"/>
  <cols>
    <col min="1" max="1" width="3.5" customWidth="1"/>
    <col min="2" max="2" width="8.296875" style="1" customWidth="1"/>
    <col min="3" max="3" width="28.796875" customWidth="1"/>
    <col min="5" max="5" width="14.19921875" bestFit="1" customWidth="1"/>
    <col min="8" max="8" width="13.296875" customWidth="1"/>
    <col min="9" max="9" width="12.19921875" style="1" customWidth="1"/>
    <col min="11" max="11" width="38.19921875" customWidth="1"/>
  </cols>
  <sheetData>
    <row r="1" spans="2:11" ht="24" customHeight="1" x14ac:dyDescent="0.3"/>
    <row r="14" spans="2:11" x14ac:dyDescent="0.3">
      <c r="B14" s="4" t="s">
        <v>1</v>
      </c>
      <c r="C14" s="4" t="s">
        <v>0</v>
      </c>
      <c r="D14" s="4" t="s">
        <v>65</v>
      </c>
      <c r="E14" s="4" t="s">
        <v>6</v>
      </c>
      <c r="F14" s="4" t="s">
        <v>2</v>
      </c>
      <c r="G14" s="4" t="s">
        <v>3</v>
      </c>
      <c r="H14" s="4" t="s">
        <v>11</v>
      </c>
      <c r="I14" s="4" t="s">
        <v>4</v>
      </c>
      <c r="J14" s="4" t="s">
        <v>5</v>
      </c>
      <c r="K14" s="4" t="s">
        <v>7</v>
      </c>
    </row>
    <row r="15" spans="2:11" x14ac:dyDescent="0.3">
      <c r="B15" s="1" t="s">
        <v>13</v>
      </c>
      <c r="C15" t="s">
        <v>14</v>
      </c>
      <c r="D15" t="s">
        <v>60</v>
      </c>
      <c r="E15" t="s">
        <v>66</v>
      </c>
      <c r="F15" s="2">
        <v>45902</v>
      </c>
      <c r="G15" s="2">
        <v>45920</v>
      </c>
      <c r="H15" s="6">
        <f>Table1[[#This Row],[Due Date]]-Table1[[#This Row],[Start Date]]</f>
        <v>18</v>
      </c>
      <c r="I15" s="1" t="s">
        <v>15</v>
      </c>
      <c r="J15" s="1" t="b">
        <f ca="1">AND(Table1[[#This Row],[Status]]&lt;&gt;"Completed",Table1[[#This Row],[Due Date]]&lt;TODAY())</f>
        <v>0</v>
      </c>
      <c r="K15" t="s">
        <v>16</v>
      </c>
    </row>
    <row r="16" spans="2:11" x14ac:dyDescent="0.3">
      <c r="B16" s="1" t="s">
        <v>17</v>
      </c>
      <c r="C16" t="s">
        <v>57</v>
      </c>
      <c r="D16" t="s">
        <v>52</v>
      </c>
      <c r="E16" t="s">
        <v>66</v>
      </c>
      <c r="F16" s="2">
        <v>45905</v>
      </c>
      <c r="G16" s="2">
        <v>45925</v>
      </c>
      <c r="H16" s="6">
        <f>Table1[[#This Row],[Due Date]]-Table1[[#This Row],[Start Date]]</f>
        <v>20</v>
      </c>
      <c r="I16" s="1" t="s">
        <v>15</v>
      </c>
      <c r="J16" s="1" t="b">
        <f ca="1">AND(Table1[[#This Row],[Status]]&lt;&gt;"Completed",Table1[[#This Row],[Due Date]]&lt;TODAY())</f>
        <v>0</v>
      </c>
      <c r="K16" t="s">
        <v>18</v>
      </c>
    </row>
    <row r="17" spans="2:11" x14ac:dyDescent="0.3">
      <c r="B17" s="1" t="s">
        <v>19</v>
      </c>
      <c r="C17" t="s">
        <v>20</v>
      </c>
      <c r="D17" t="s">
        <v>52</v>
      </c>
      <c r="E17" t="s">
        <v>67</v>
      </c>
      <c r="F17" s="2">
        <v>45848</v>
      </c>
      <c r="G17" s="2">
        <v>45874</v>
      </c>
      <c r="H17" s="6">
        <f>Table1[[#This Row],[Due Date]]-Table1[[#This Row],[Start Date]]</f>
        <v>26</v>
      </c>
      <c r="I17" s="1" t="s">
        <v>8</v>
      </c>
      <c r="J17" s="1" t="b">
        <f ca="1">AND(Table1[[#This Row],[Status]]&lt;&gt;"Completed",Table1[[#This Row],[Due Date]]&lt;TODAY())</f>
        <v>1</v>
      </c>
      <c r="K17" t="s">
        <v>21</v>
      </c>
    </row>
    <row r="18" spans="2:11" x14ac:dyDescent="0.3">
      <c r="B18" s="1" t="s">
        <v>22</v>
      </c>
      <c r="C18" t="s">
        <v>23</v>
      </c>
      <c r="D18" t="s">
        <v>60</v>
      </c>
      <c r="E18" t="s">
        <v>66</v>
      </c>
      <c r="F18" s="2">
        <v>45912</v>
      </c>
      <c r="G18" s="2">
        <v>45930</v>
      </c>
      <c r="H18" s="6">
        <f>Table1[[#This Row],[Due Date]]-Table1[[#This Row],[Start Date]]</f>
        <v>18</v>
      </c>
      <c r="I18" s="1" t="s">
        <v>15</v>
      </c>
      <c r="J18" s="1" t="b">
        <f ca="1">AND(Table1[[#This Row],[Status]]&lt;&gt;"Completed",Table1[[#This Row],[Due Date]]&lt;TODAY())</f>
        <v>0</v>
      </c>
      <c r="K18" t="s">
        <v>24</v>
      </c>
    </row>
    <row r="19" spans="2:11" x14ac:dyDescent="0.3">
      <c r="B19" s="1" t="s">
        <v>25</v>
      </c>
      <c r="C19" t="s">
        <v>26</v>
      </c>
      <c r="D19" t="s">
        <v>52</v>
      </c>
      <c r="E19" t="s">
        <v>68</v>
      </c>
      <c r="F19" s="2">
        <v>45915</v>
      </c>
      <c r="G19" s="2">
        <v>45940</v>
      </c>
      <c r="H19" s="6">
        <f>Table1[[#This Row],[Due Date]]-Table1[[#This Row],[Start Date]]</f>
        <v>25</v>
      </c>
      <c r="I19" s="1" t="s">
        <v>8</v>
      </c>
      <c r="J19" s="1" t="b">
        <f ca="1">AND(Table1[[#This Row],[Status]]&lt;&gt;"Completed",Table1[[#This Row],[Due Date]]&lt;TODAY())</f>
        <v>1</v>
      </c>
      <c r="K19" t="s">
        <v>27</v>
      </c>
    </row>
    <row r="20" spans="2:11" x14ac:dyDescent="0.3">
      <c r="B20" s="1" t="s">
        <v>28</v>
      </c>
      <c r="C20" t="s">
        <v>29</v>
      </c>
      <c r="D20" t="s">
        <v>61</v>
      </c>
      <c r="E20" t="s">
        <v>67</v>
      </c>
      <c r="F20" s="2">
        <v>45918</v>
      </c>
      <c r="G20" s="2">
        <v>46310</v>
      </c>
      <c r="H20" s="6">
        <f>Table1[[#This Row],[Due Date]]-Table1[[#This Row],[Start Date]]</f>
        <v>392</v>
      </c>
      <c r="I20" s="1" t="s">
        <v>8</v>
      </c>
      <c r="J20" s="1" t="b">
        <f ca="1">AND(Table1[[#This Row],[Status]]&lt;&gt;"Completed",Table1[[#This Row],[Due Date]]&lt;TODAY())</f>
        <v>0</v>
      </c>
      <c r="K20" t="s">
        <v>30</v>
      </c>
    </row>
    <row r="21" spans="2:11" x14ac:dyDescent="0.3">
      <c r="B21" s="1" t="s">
        <v>31</v>
      </c>
      <c r="C21" t="s">
        <v>58</v>
      </c>
      <c r="D21" t="s">
        <v>61</v>
      </c>
      <c r="E21" t="s">
        <v>69</v>
      </c>
      <c r="F21" s="2">
        <v>45889</v>
      </c>
      <c r="G21" s="2">
        <v>45896</v>
      </c>
      <c r="H21" s="6">
        <f>Table1[[#This Row],[Due Date]]-Table1[[#This Row],[Start Date]]</f>
        <v>7</v>
      </c>
      <c r="I21" s="1" t="s">
        <v>9</v>
      </c>
      <c r="J21" s="1" t="b">
        <f ca="1">AND(Table1[[#This Row],[Status]]&lt;&gt;"Completed",Table1[[#This Row],[Due Date]]&lt;TODAY())</f>
        <v>1</v>
      </c>
      <c r="K21" t="s">
        <v>32</v>
      </c>
    </row>
    <row r="22" spans="2:11" x14ac:dyDescent="0.3">
      <c r="B22" s="1" t="s">
        <v>33</v>
      </c>
      <c r="C22" t="s">
        <v>34</v>
      </c>
      <c r="D22" t="s">
        <v>35</v>
      </c>
      <c r="E22" t="s">
        <v>69</v>
      </c>
      <c r="F22" s="2">
        <v>45922</v>
      </c>
      <c r="G22" s="2">
        <v>45942</v>
      </c>
      <c r="H22" s="6">
        <f>Table1[[#This Row],[Due Date]]-Table1[[#This Row],[Start Date]]</f>
        <v>20</v>
      </c>
      <c r="I22" s="1" t="s">
        <v>8</v>
      </c>
      <c r="J22" s="1" t="b">
        <f ca="1">AND(Table1[[#This Row],[Status]]&lt;&gt;"Completed",Table1[[#This Row],[Due Date]]&lt;TODAY())</f>
        <v>1</v>
      </c>
      <c r="K22" t="s">
        <v>36</v>
      </c>
    </row>
    <row r="23" spans="2:11" x14ac:dyDescent="0.3">
      <c r="B23" s="1" t="s">
        <v>37</v>
      </c>
      <c r="C23" t="s">
        <v>38</v>
      </c>
      <c r="D23" t="s">
        <v>61</v>
      </c>
      <c r="E23" t="s">
        <v>66</v>
      </c>
      <c r="F23" s="2">
        <v>45923</v>
      </c>
      <c r="G23" s="2">
        <v>45950</v>
      </c>
      <c r="H23" s="6">
        <f>Table1[[#This Row],[Due Date]]-Table1[[#This Row],[Start Date]]</f>
        <v>27</v>
      </c>
      <c r="I23" s="1" t="s">
        <v>15</v>
      </c>
      <c r="J23" s="1" t="b">
        <f ca="1">AND(Table1[[#This Row],[Status]]&lt;&gt;"Completed",Table1[[#This Row],[Due Date]]&lt;TODAY())</f>
        <v>0</v>
      </c>
      <c r="K23" t="s">
        <v>39</v>
      </c>
    </row>
    <row r="24" spans="2:11" x14ac:dyDescent="0.3">
      <c r="B24" s="1" t="s">
        <v>40</v>
      </c>
      <c r="C24" t="s">
        <v>59</v>
      </c>
      <c r="D24" t="s">
        <v>61</v>
      </c>
      <c r="E24" t="s">
        <v>66</v>
      </c>
      <c r="F24" s="2">
        <v>45924</v>
      </c>
      <c r="G24" s="2">
        <v>45935</v>
      </c>
      <c r="H24" s="6">
        <f>Table1[[#This Row],[Due Date]]-Table1[[#This Row],[Start Date]]</f>
        <v>11</v>
      </c>
      <c r="I24" s="1" t="s">
        <v>8</v>
      </c>
      <c r="J24" s="1" t="b">
        <f ca="1">AND(Table1[[#This Row],[Status]]&lt;&gt;"Completed",Table1[[#This Row],[Due Date]]&lt;TODAY())</f>
        <v>1</v>
      </c>
      <c r="K24" t="s">
        <v>41</v>
      </c>
    </row>
    <row r="25" spans="2:11" x14ac:dyDescent="0.3">
      <c r="B25" s="1" t="s">
        <v>42</v>
      </c>
      <c r="C25" t="s">
        <v>43</v>
      </c>
      <c r="D25" t="s">
        <v>60</v>
      </c>
      <c r="E25" t="s">
        <v>67</v>
      </c>
      <c r="F25" s="2">
        <v>45925</v>
      </c>
      <c r="G25" s="2">
        <v>45932</v>
      </c>
      <c r="H25" s="6">
        <f>Table1[[#This Row],[Due Date]]-Table1[[#This Row],[Start Date]]</f>
        <v>7</v>
      </c>
      <c r="I25" s="1" t="s">
        <v>15</v>
      </c>
      <c r="J25" s="1" t="b">
        <f ca="1">AND(Table1[[#This Row],[Status]]&lt;&gt;"Completed",Table1[[#This Row],[Due Date]]&lt;TODAY())</f>
        <v>0</v>
      </c>
      <c r="K25" t="s">
        <v>44</v>
      </c>
    </row>
    <row r="26" spans="2:11" x14ac:dyDescent="0.3">
      <c r="B26" s="1" t="s">
        <v>45</v>
      </c>
      <c r="C26" t="s">
        <v>62</v>
      </c>
      <c r="D26" s="3" t="s">
        <v>52</v>
      </c>
      <c r="E26" t="s">
        <v>66</v>
      </c>
      <c r="F26" s="2">
        <v>45926</v>
      </c>
      <c r="G26" s="2">
        <v>45960</v>
      </c>
      <c r="H26" s="6">
        <f>Table1[[#This Row],[Due Date]]-Table1[[#This Row],[Start Date]]</f>
        <v>34</v>
      </c>
      <c r="I26" s="1" t="s">
        <v>15</v>
      </c>
      <c r="J26" s="1" t="b">
        <f ca="1">AND(Table1[[#This Row],[Status]]&lt;&gt;"Completed",Table1[[#This Row],[Due Date]]&lt;TODAY())</f>
        <v>0</v>
      </c>
      <c r="K26" t="s">
        <v>46</v>
      </c>
    </row>
    <row r="27" spans="2:11" x14ac:dyDescent="0.3">
      <c r="B27" s="1" t="s">
        <v>47</v>
      </c>
      <c r="C27" t="s">
        <v>48</v>
      </c>
      <c r="D27" s="3" t="s">
        <v>52</v>
      </c>
      <c r="E27" t="s">
        <v>70</v>
      </c>
      <c r="F27" s="2">
        <v>45927</v>
      </c>
      <c r="G27" s="2">
        <v>45937</v>
      </c>
      <c r="H27" s="6">
        <f>Table1[[#This Row],[Due Date]]-Table1[[#This Row],[Start Date]]</f>
        <v>10</v>
      </c>
      <c r="I27" s="1" t="s">
        <v>8</v>
      </c>
      <c r="J27" s="1" t="b">
        <f ca="1">AND(Table1[[#This Row],[Status]]&lt;&gt;"Completed",Table1[[#This Row],[Due Date]]&lt;TODAY())</f>
        <v>1</v>
      </c>
      <c r="K27" t="s">
        <v>49</v>
      </c>
    </row>
    <row r="28" spans="2:11" x14ac:dyDescent="0.3">
      <c r="B28" s="1" t="s">
        <v>50</v>
      </c>
      <c r="C28" t="s">
        <v>51</v>
      </c>
      <c r="D28" t="s">
        <v>52</v>
      </c>
      <c r="E28" t="s">
        <v>70</v>
      </c>
      <c r="F28" s="2">
        <v>45928</v>
      </c>
      <c r="G28" s="2">
        <v>45948</v>
      </c>
      <c r="H28" s="6">
        <f>Table1[[#This Row],[Due Date]]-Table1[[#This Row],[Start Date]]</f>
        <v>20</v>
      </c>
      <c r="I28" s="1" t="s">
        <v>15</v>
      </c>
      <c r="J28" s="1" t="b">
        <f ca="1">AND(Table1[[#This Row],[Status]]&lt;&gt;"Completed",Table1[[#This Row],[Due Date]]&lt;TODAY())</f>
        <v>0</v>
      </c>
      <c r="K28" t="s">
        <v>53</v>
      </c>
    </row>
    <row r="29" spans="2:11" x14ac:dyDescent="0.3">
      <c r="B29" s="1" t="s">
        <v>54</v>
      </c>
      <c r="C29" t="s">
        <v>55</v>
      </c>
      <c r="D29" t="s">
        <v>60</v>
      </c>
      <c r="E29" t="s">
        <v>70</v>
      </c>
      <c r="F29" s="2">
        <v>45929</v>
      </c>
      <c r="G29" s="2">
        <v>45934</v>
      </c>
      <c r="H29" s="6">
        <f>Table1[[#This Row],[Due Date]]-Table1[[#This Row],[Start Date]]</f>
        <v>5</v>
      </c>
      <c r="I29" s="1" t="s">
        <v>9</v>
      </c>
      <c r="J29" s="1" t="b">
        <f ca="1">AND(Table1[[#This Row],[Status]]&lt;&gt;"Completed",Table1[[#This Row],[Due Date]]&lt;TODAY())</f>
        <v>1</v>
      </c>
      <c r="K29" t="s">
        <v>56</v>
      </c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609D4DD-1D14-4BC2-A345-A1F367B021EF}">
          <x14:formula1>
            <xm:f>'Support Sheet'!$E$3:$E$7</xm:f>
          </x14:formula1>
          <xm:sqref>E15:E503</xm:sqref>
        </x14:dataValidation>
        <x14:dataValidation type="list" allowBlank="1" showInputMessage="1" showErrorMessage="1" xr:uid="{49B59335-5B2C-482E-9B42-11777EFB504A}">
          <x14:formula1>
            <xm:f>'Support Sheet'!$H$3:$H$6</xm:f>
          </x14:formula1>
          <xm:sqref>D15:D383</xm:sqref>
        </x14:dataValidation>
        <x14:dataValidation type="list" allowBlank="1" showInputMessage="1" showErrorMessage="1" xr:uid="{251275F8-0790-4796-B279-EDCEAE6DAEF6}">
          <x14:formula1>
            <xm:f>'Support Sheet'!$B$3:$B$5</xm:f>
          </x14:formula1>
          <xm:sqref>I15:I590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6006-6B40-364D-90DA-E56E32DD5F29}">
  <dimension ref="B2:K10"/>
  <sheetViews>
    <sheetView zoomScale="115" zoomScaleNormal="115" workbookViewId="0">
      <selection activeCell="K3" sqref="K3"/>
    </sheetView>
  </sheetViews>
  <sheetFormatPr defaultColWidth="11.19921875" defaultRowHeight="15.6" x14ac:dyDescent="0.3"/>
  <cols>
    <col min="1" max="1" width="3.296875" customWidth="1"/>
    <col min="3" max="3" width="6.19921875" bestFit="1" customWidth="1"/>
    <col min="4" max="4" width="7.796875" customWidth="1"/>
    <col min="5" max="5" width="14.19921875" bestFit="1" customWidth="1"/>
    <col min="6" max="6" width="6.19921875" style="1" bestFit="1" customWidth="1"/>
    <col min="7" max="7" width="7.796875" customWidth="1"/>
    <col min="9" max="9" width="6.19921875" bestFit="1" customWidth="1"/>
    <col min="10" max="10" width="7.796875" customWidth="1"/>
    <col min="11" max="11" width="8" bestFit="1" customWidth="1"/>
  </cols>
  <sheetData>
    <row r="2" spans="2:11" x14ac:dyDescent="0.3">
      <c r="B2" s="5" t="s">
        <v>4</v>
      </c>
      <c r="C2" s="5" t="s">
        <v>63</v>
      </c>
      <c r="E2" s="5" t="s">
        <v>10</v>
      </c>
      <c r="F2" s="5" t="s">
        <v>63</v>
      </c>
      <c r="H2" s="5" t="s">
        <v>65</v>
      </c>
      <c r="I2" s="5" t="s">
        <v>63</v>
      </c>
      <c r="K2" s="5" t="s">
        <v>12</v>
      </c>
    </row>
    <row r="3" spans="2:11" x14ac:dyDescent="0.3">
      <c r="B3" t="s">
        <v>15</v>
      </c>
      <c r="C3" s="1">
        <f>COUNTIF(Dashboard!I15:I31,'Support Sheet'!B3)</f>
        <v>7</v>
      </c>
      <c r="E3" t="s">
        <v>66</v>
      </c>
      <c r="F3" s="1">
        <f>COUNTIF(Dashboard!E15:E79,'Support Sheet'!E3)</f>
        <v>6</v>
      </c>
      <c r="H3" t="s">
        <v>60</v>
      </c>
      <c r="I3" s="1">
        <f>COUNTIF(Dashboard!D15:D271,'Support Sheet'!H3)</f>
        <v>4</v>
      </c>
      <c r="K3" s="1">
        <f ca="1">COUNTIF(Dashboard!J15:J880,TRUE)</f>
        <v>7</v>
      </c>
    </row>
    <row r="4" spans="2:11" x14ac:dyDescent="0.3">
      <c r="B4" t="s">
        <v>8</v>
      </c>
      <c r="C4" s="1">
        <f>COUNTIF(Dashboard!I16:I32,'Support Sheet'!B4)</f>
        <v>6</v>
      </c>
      <c r="E4" t="s">
        <v>70</v>
      </c>
      <c r="F4" s="1">
        <f>COUNTIF(Dashboard!E16:E80,'Support Sheet'!E4)</f>
        <v>3</v>
      </c>
      <c r="H4" t="s">
        <v>52</v>
      </c>
      <c r="I4" s="1">
        <f>COUNTIF(Dashboard!D16:D272,'Support Sheet'!H4)</f>
        <v>6</v>
      </c>
    </row>
    <row r="5" spans="2:11" x14ac:dyDescent="0.3">
      <c r="B5" t="s">
        <v>9</v>
      </c>
      <c r="C5" s="1">
        <f>COUNTIF(Dashboard!I17:I33,'Support Sheet'!B5)</f>
        <v>2</v>
      </c>
      <c r="E5" t="s">
        <v>69</v>
      </c>
      <c r="F5" s="1">
        <f>COUNTIF(Dashboard!E17:E81,'Support Sheet'!E5)</f>
        <v>2</v>
      </c>
      <c r="H5" t="s">
        <v>61</v>
      </c>
      <c r="I5" s="1">
        <f>COUNTIF(Dashboard!D17:D273,'Support Sheet'!H5)</f>
        <v>4</v>
      </c>
    </row>
    <row r="6" spans="2:11" x14ac:dyDescent="0.3">
      <c r="B6" t="s">
        <v>64</v>
      </c>
      <c r="C6" s="1">
        <f>SUM(C3:C5)</f>
        <v>15</v>
      </c>
      <c r="E6" t="s">
        <v>67</v>
      </c>
      <c r="F6" s="1">
        <f>COUNTIF(Dashboard!E18:E82,'Support Sheet'!E6)</f>
        <v>2</v>
      </c>
      <c r="H6" t="s">
        <v>35</v>
      </c>
      <c r="I6" s="1">
        <f>COUNTIF(Dashboard!D18:D274,'Support Sheet'!H6)</f>
        <v>1</v>
      </c>
    </row>
    <row r="7" spans="2:11" x14ac:dyDescent="0.3">
      <c r="E7" t="s">
        <v>68</v>
      </c>
      <c r="F7" s="1">
        <f>COUNTIF(Dashboard!E19:E83,'Support Sheet'!E7)</f>
        <v>1</v>
      </c>
      <c r="I7" s="1"/>
    </row>
    <row r="10" spans="2:11" x14ac:dyDescent="0.3">
      <c r="E1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abhishek luitel</cp:lastModifiedBy>
  <dcterms:created xsi:type="dcterms:W3CDTF">2025-09-19T00:51:58Z</dcterms:created>
  <dcterms:modified xsi:type="dcterms:W3CDTF">2026-05-08T17:39:16Z</dcterms:modified>
</cp:coreProperties>
</file>