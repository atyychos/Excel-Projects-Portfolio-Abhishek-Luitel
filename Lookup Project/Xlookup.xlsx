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8_{B736A161-0F83-4D17-9736-F3B500F6D6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J42" i="1" l="1" a="1"/>
  <c r="J42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C5" i="1" a="1"/>
  <c r="G5" i="1" s="1"/>
  <c r="G4" i="1" a="1"/>
  <c r="G4" i="1" s="1"/>
  <c r="C4" i="1"/>
  <c r="J5" i="1" l="1"/>
  <c r="D5" i="1"/>
  <c r="F5" i="1"/>
  <c r="H5" i="1"/>
  <c r="I5" i="1"/>
  <c r="C5" i="1"/>
  <c r="E5" i="1"/>
</calcChain>
</file>

<file path=xl/sharedStrings.xml><?xml version="1.0" encoding="utf-8"?>
<sst xmlns="http://schemas.openxmlformats.org/spreadsheetml/2006/main" count="214" uniqueCount="108">
  <si>
    <t>Name</t>
  </si>
  <si>
    <t xml:space="preserve">Abhishek Luitel </t>
  </si>
  <si>
    <t>Emp ID</t>
  </si>
  <si>
    <t>AC0008</t>
  </si>
  <si>
    <t xml:space="preserve">Job Title </t>
  </si>
  <si>
    <t xml:space="preserve">Salary </t>
  </si>
  <si>
    <t>Full Details</t>
  </si>
  <si>
    <t>Male</t>
  </si>
  <si>
    <t>Bachelor's Degree</t>
  </si>
  <si>
    <t>Chocolatier</t>
  </si>
  <si>
    <t>$ 3,600</t>
  </si>
  <si>
    <t>Note: Data Validation is used to enter the data on C3 which acts as a search keyword where job and and full details are displayed using XLookup</t>
  </si>
  <si>
    <t>Gender</t>
  </si>
  <si>
    <t>Education Qualification</t>
  </si>
  <si>
    <t>Date of Join</t>
  </si>
  <si>
    <t>Job Title</t>
  </si>
  <si>
    <t>Salary</t>
  </si>
  <si>
    <t>Age</t>
  </si>
  <si>
    <t>Bonus</t>
  </si>
  <si>
    <t>AC0001</t>
  </si>
  <si>
    <t xml:space="preserve">Nitesh Kuwar </t>
  </si>
  <si>
    <t>AC0002</t>
  </si>
  <si>
    <t>Female</t>
  </si>
  <si>
    <t>Diploma</t>
  </si>
  <si>
    <t>Production Operator</t>
  </si>
  <si>
    <t xml:space="preserve">Atif Bhaijan </t>
  </si>
  <si>
    <t>AC0003</t>
  </si>
  <si>
    <t>High School Diploma</t>
  </si>
  <si>
    <t>Packaging Associate</t>
  </si>
  <si>
    <t xml:space="preserve">Greck Leanard </t>
  </si>
  <si>
    <t>AC0004</t>
  </si>
  <si>
    <t>Marketing Specialist</t>
  </si>
  <si>
    <t xml:space="preserve">Samlal </t>
  </si>
  <si>
    <t>AC0005</t>
  </si>
  <si>
    <t>Master's Degree</t>
  </si>
  <si>
    <t>Research Scientist</t>
  </si>
  <si>
    <t xml:space="preserve">Nitesh Jung </t>
  </si>
  <si>
    <t>AC0006</t>
  </si>
  <si>
    <t>Sales Representative</t>
  </si>
  <si>
    <t xml:space="preserve">Anil Koirala </t>
  </si>
  <si>
    <t>AC0007</t>
  </si>
  <si>
    <t xml:space="preserve">Surya Bhattrai </t>
  </si>
  <si>
    <t>Quality Control</t>
  </si>
  <si>
    <t xml:space="preserve">Pratik Karki </t>
  </si>
  <si>
    <t>AC0009</t>
  </si>
  <si>
    <t>Research Analyst</t>
  </si>
  <si>
    <t>Roman Range</t>
  </si>
  <si>
    <t>AC0010</t>
  </si>
  <si>
    <t>Product Manager</t>
  </si>
  <si>
    <t xml:space="preserve">Anjal Karki </t>
  </si>
  <si>
    <t>AC0011</t>
  </si>
  <si>
    <t>JK Rowling</t>
  </si>
  <si>
    <t>AC0012</t>
  </si>
  <si>
    <t xml:space="preserve">Albert ferar </t>
  </si>
  <si>
    <t>AC0013</t>
  </si>
  <si>
    <t xml:space="preserve">Leo Lyam </t>
  </si>
  <si>
    <t>AC0014</t>
  </si>
  <si>
    <t>Marketing Manager</t>
  </si>
  <si>
    <t xml:space="preserve">Joshep </t>
  </si>
  <si>
    <t>AC0015</t>
  </si>
  <si>
    <t xml:space="preserve">Monkey D luffy </t>
  </si>
  <si>
    <t>AC0016</t>
  </si>
  <si>
    <t xml:space="preserve">Zoro jeuno </t>
  </si>
  <si>
    <t>AC0017</t>
  </si>
  <si>
    <t xml:space="preserve">Vinsmoke Shaji </t>
  </si>
  <si>
    <t>AC0018</t>
  </si>
  <si>
    <t xml:space="preserve">Nami girl </t>
  </si>
  <si>
    <t>AC0019</t>
  </si>
  <si>
    <t xml:space="preserve">Lier ussop </t>
  </si>
  <si>
    <t>AC0020</t>
  </si>
  <si>
    <t xml:space="preserve">Cute chopper </t>
  </si>
  <si>
    <t>AC0021</t>
  </si>
  <si>
    <t xml:space="preserve">Villien </t>
  </si>
  <si>
    <t>AC0022</t>
  </si>
  <si>
    <t xml:space="preserve">Midoria </t>
  </si>
  <si>
    <t>AC0023</t>
  </si>
  <si>
    <t xml:space="preserve">Bakugo </t>
  </si>
  <si>
    <t>AC0024</t>
  </si>
  <si>
    <t xml:space="preserve">Almight </t>
  </si>
  <si>
    <t>AC0025</t>
  </si>
  <si>
    <t xml:space="preserve">Amar Singh </t>
  </si>
  <si>
    <t>AC0026</t>
  </si>
  <si>
    <t xml:space="preserve">Nepali </t>
  </si>
  <si>
    <t>AC0027</t>
  </si>
  <si>
    <t xml:space="preserve">Sydney boy </t>
  </si>
  <si>
    <t>AC0028</t>
  </si>
  <si>
    <t xml:space="preserve">Mahesh Basnet </t>
  </si>
  <si>
    <t>AC0029</t>
  </si>
  <si>
    <t xml:space="preserve">Kiran dai </t>
  </si>
  <si>
    <t>AC0030</t>
  </si>
  <si>
    <t xml:space="preserve">Army kto </t>
  </si>
  <si>
    <t>AC0031</t>
  </si>
  <si>
    <t xml:space="preserve">Lucky Bhaskar </t>
  </si>
  <si>
    <t>AC0032</t>
  </si>
  <si>
    <t xml:space="preserve">Virat Oli </t>
  </si>
  <si>
    <t>AC0033</t>
  </si>
  <si>
    <t>Cricketer Kid</t>
  </si>
  <si>
    <t>AC0034</t>
  </si>
  <si>
    <t xml:space="preserve">Football boy </t>
  </si>
  <si>
    <t>AC0035</t>
  </si>
  <si>
    <t>2025 Bonus</t>
  </si>
  <si>
    <t>$ 2,900</t>
  </si>
  <si>
    <t>$ 2,400</t>
  </si>
  <si>
    <t>$ 2,500</t>
  </si>
  <si>
    <t>$ 2,300</t>
  </si>
  <si>
    <t>$ 3,500</t>
  </si>
  <si>
    <t>$ 3,700</t>
  </si>
  <si>
    <t>$ 3,800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</si>
</sst>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"/>
  </numFmts>
  <fonts count="7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7"/>
        <bgColor theme="7"/>
      </patternFill>
    </fill>
    <fill>
      <patternFill patternType="solid">
        <fgColor rgb="FFA7EA52"/>
        <bgColor rgb="FFA7EA5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15" fontId="2" fillId="2" borderId="0" xfId="0" applyNumberFormat="1" applyFont="1" applyFill="1"/>
    <xf numFmtId="164" fontId="2" fillId="2" borderId="0" xfId="0" applyNumberFormat="1" applyFont="1" applyFill="1"/>
    <xf numFmtId="0" fontId="3" fillId="3" borderId="1" xfId="0" applyFont="1" applyFill="1" applyBorder="1"/>
    <xf numFmtId="15" fontId="3" fillId="3" borderId="1" xfId="0" applyNumberFormat="1" applyFont="1" applyFill="1" applyBorder="1" applyAlignment="1">
      <alignment horizontal="right"/>
    </xf>
    <xf numFmtId="0" fontId="4" fillId="0" borderId="1" xfId="0" applyFont="1" applyBorder="1"/>
    <xf numFmtId="15" fontId="4" fillId="0" borderId="1" xfId="0" applyNumberFormat="1" applyFont="1" applyBorder="1"/>
    <xf numFmtId="164" fontId="4" fillId="0" borderId="1" xfId="0" applyNumberFormat="1" applyFont="1" applyBorder="1"/>
    <xf numFmtId="0" fontId="5" fillId="4" borderId="1" xfId="0" applyFont="1" applyFill="1" applyBorder="1"/>
    <xf numFmtId="0" fontId="6" fillId="0" borderId="1" xfId="0" applyFont="1" applyBorder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workbookViewId="0"/>
  </sheetViews>
  <sheetFormatPr defaultColWidth="14.44140625" defaultRowHeight="15" customHeight="1"/>
  <cols>
    <col min="1" max="1" width="8.6640625" customWidth="1"/>
    <col min="2" max="2" width="16.88671875" customWidth="1"/>
    <col min="3" max="3" width="18.6640625" customWidth="1"/>
    <col min="4" max="4" width="8.6640625" customWidth="1"/>
    <col min="5" max="5" width="21.5546875" customWidth="1"/>
    <col min="6" max="6" width="12.44140625" customWidth="1"/>
    <col min="7" max="7" width="19.33203125" customWidth="1"/>
    <col min="8" max="8" width="8.6640625" customWidth="1"/>
    <col min="9" max="9" width="10.33203125" customWidth="1"/>
    <col min="10" max="26" width="8.6640625" customWidth="1"/>
  </cols>
  <sheetData>
    <row r="1" spans="2:15" ht="14.25" customHeight="1"/>
    <row r="2" spans="2:15" ht="14.25" customHeight="1"/>
    <row r="3" spans="2:15" ht="14.25" customHeight="1">
      <c r="B3" s="1" t="s">
        <v>0</v>
      </c>
      <c r="C3" s="1" t="s">
        <v>1</v>
      </c>
      <c r="F3" s="2" t="s">
        <v>2</v>
      </c>
      <c r="G3" s="2" t="s">
        <v>3</v>
      </c>
    </row>
    <row r="4" spans="2:15" ht="14.25" customHeight="1">
      <c r="B4" s="1" t="s">
        <v>4</v>
      </c>
      <c r="C4" s="1" t="str">
        <f>VLOOKUP(C3,B8:I42,6,0)</f>
        <v>Chocolatier</v>
      </c>
      <c r="F4" s="2" t="s">
        <v>5</v>
      </c>
      <c r="G4" s="3" t="e">
        <f t="array" aca="1" ref="G4" ca="1">XLOOKUP(G3,C8:C42,H8:H42)</f>
        <v>#NAME?</v>
      </c>
    </row>
    <row r="5" spans="2:15" ht="14.25" customHeight="1">
      <c r="B5" s="4" t="s">
        <v>6</v>
      </c>
      <c r="C5" s="4" t="e">
        <f t="array" aca="1" ref="C5:J5" ca="1">XLOOKUP(C3,B8:B42,C8:J42)</f>
        <v>#NAME?</v>
      </c>
      <c r="D5" s="4" t="e">
        <f ca="1"/>
        <v>#NAME?</v>
      </c>
      <c r="E5" s="4" t="e">
        <f ca="1"/>
        <v>#NAME?</v>
      </c>
      <c r="F5" s="5" t="e">
        <f ca="1"/>
        <v>#NAME?</v>
      </c>
      <c r="G5" s="4" t="e">
        <f ca="1"/>
        <v>#NAME?</v>
      </c>
      <c r="H5" s="6" t="e">
        <f ca="1"/>
        <v>#NAME?</v>
      </c>
      <c r="I5" s="4" t="e">
        <f ca="1"/>
        <v>#NAME?</v>
      </c>
      <c r="J5" s="4" t="e">
        <f ca="1"/>
        <v>#NAME?</v>
      </c>
      <c r="M5" s="14" t="s">
        <v>11</v>
      </c>
      <c r="N5" s="15"/>
      <c r="O5" s="15"/>
    </row>
    <row r="6" spans="2:15" ht="14.25" customHeight="1">
      <c r="M6" s="15"/>
      <c r="N6" s="15"/>
      <c r="O6" s="15"/>
    </row>
    <row r="7" spans="2:15" ht="14.25" customHeight="1">
      <c r="B7" s="7" t="s">
        <v>0</v>
      </c>
      <c r="C7" s="7" t="s">
        <v>2</v>
      </c>
      <c r="D7" s="7" t="s">
        <v>12</v>
      </c>
      <c r="E7" s="7" t="s">
        <v>13</v>
      </c>
      <c r="F7" s="8" t="s">
        <v>14</v>
      </c>
      <c r="G7" s="7" t="s">
        <v>15</v>
      </c>
      <c r="H7" s="7" t="s">
        <v>16</v>
      </c>
      <c r="I7" s="7" t="s">
        <v>17</v>
      </c>
      <c r="J7" s="7" t="s">
        <v>18</v>
      </c>
      <c r="M7" s="15"/>
      <c r="N7" s="15"/>
      <c r="O7" s="15"/>
    </row>
    <row r="8" spans="2:15" ht="14.25" customHeight="1">
      <c r="B8" s="9" t="s">
        <v>1</v>
      </c>
      <c r="C8" s="9" t="s">
        <v>19</v>
      </c>
      <c r="D8" s="9" t="s">
        <v>7</v>
      </c>
      <c r="E8" s="9" t="s">
        <v>8</v>
      </c>
      <c r="F8" s="10">
        <v>44724</v>
      </c>
      <c r="G8" s="9" t="s">
        <v>9</v>
      </c>
      <c r="H8" s="11">
        <v>51300</v>
      </c>
      <c r="I8" s="9">
        <v>26</v>
      </c>
      <c r="J8" s="2" t="e">
        <f t="array" aca="1" ref="J8" ca="1">XLOOKUP(G8,Sheet2!$A$2:$A$11,Sheet2!$B$2:$B$11)</f>
        <v>#NAME?</v>
      </c>
      <c r="M8" s="15"/>
      <c r="N8" s="15"/>
      <c r="O8" s="15"/>
    </row>
    <row r="9" spans="2:15" ht="14.25" customHeight="1">
      <c r="B9" s="9" t="s">
        <v>20</v>
      </c>
      <c r="C9" s="9" t="s">
        <v>21</v>
      </c>
      <c r="D9" s="9" t="s">
        <v>22</v>
      </c>
      <c r="E9" s="9" t="s">
        <v>23</v>
      </c>
      <c r="F9" s="10">
        <v>44975</v>
      </c>
      <c r="G9" s="9" t="s">
        <v>24</v>
      </c>
      <c r="H9" s="11">
        <v>38300</v>
      </c>
      <c r="I9" s="9">
        <v>32.700000000000003</v>
      </c>
      <c r="J9" s="2" t="e">
        <f t="array" aca="1" ref="J9" ca="1">XLOOKUP(G9,Sheet2!$A$2:$A$11,Sheet2!$B$2:$B$11)</f>
        <v>#NAME?</v>
      </c>
      <c r="M9" s="15"/>
      <c r="N9" s="15"/>
      <c r="O9" s="15"/>
    </row>
    <row r="10" spans="2:15" ht="14.25" customHeight="1">
      <c r="B10" s="9" t="s">
        <v>25</v>
      </c>
      <c r="C10" s="9" t="s">
        <v>26</v>
      </c>
      <c r="D10" s="9" t="s">
        <v>7</v>
      </c>
      <c r="E10" s="9" t="s">
        <v>27</v>
      </c>
      <c r="F10" s="10">
        <v>45540</v>
      </c>
      <c r="G10" s="9" t="s">
        <v>28</v>
      </c>
      <c r="H10" s="11">
        <v>31400</v>
      </c>
      <c r="I10" s="9">
        <v>34.299999999999997</v>
      </c>
      <c r="J10" s="2" t="e">
        <f t="array" aca="1" ref="J10" ca="1">XLOOKUP(G10,Sheet2!$A$2:$A$11,Sheet2!$B$2:$B$11)</f>
        <v>#NAME?</v>
      </c>
      <c r="M10" s="15"/>
      <c r="N10" s="15"/>
      <c r="O10" s="15"/>
    </row>
    <row r="11" spans="2:15" ht="14.25" customHeight="1">
      <c r="B11" s="9" t="s">
        <v>29</v>
      </c>
      <c r="C11" s="9" t="s">
        <v>30</v>
      </c>
      <c r="D11" s="9" t="s">
        <v>7</v>
      </c>
      <c r="E11" s="9" t="s">
        <v>8</v>
      </c>
      <c r="F11" s="10">
        <v>44520</v>
      </c>
      <c r="G11" s="9" t="s">
        <v>31</v>
      </c>
      <c r="H11" s="11">
        <v>60700</v>
      </c>
      <c r="I11" s="9">
        <v>29.6</v>
      </c>
      <c r="J11" s="2" t="e">
        <f t="array" aca="1" ref="J11" ca="1">XLOOKUP(G11,Sheet2!$A$2:$A$11,Sheet2!$B$2:$B$11)</f>
        <v>#NAME?</v>
      </c>
      <c r="M11" s="15"/>
      <c r="N11" s="15"/>
      <c r="O11" s="15"/>
    </row>
    <row r="12" spans="2:15" ht="14.25" customHeight="1">
      <c r="B12" s="9" t="s">
        <v>32</v>
      </c>
      <c r="C12" s="9" t="s">
        <v>33</v>
      </c>
      <c r="D12" s="9" t="s">
        <v>22</v>
      </c>
      <c r="E12" s="9" t="s">
        <v>34</v>
      </c>
      <c r="F12" s="10">
        <v>43929</v>
      </c>
      <c r="G12" s="9" t="s">
        <v>35</v>
      </c>
      <c r="H12" s="11">
        <v>77300</v>
      </c>
      <c r="I12" s="9">
        <v>30.3</v>
      </c>
      <c r="J12" s="2" t="e">
        <f t="array" aca="1" ref="J12" ca="1">XLOOKUP(G12,Sheet2!$A$2:$A$11,Sheet2!$B$2:$B$11)</f>
        <v>#NAME?</v>
      </c>
      <c r="M12" s="15"/>
      <c r="N12" s="15"/>
      <c r="O12" s="15"/>
    </row>
    <row r="13" spans="2:15" ht="14.25" customHeight="1">
      <c r="B13" s="9" t="s">
        <v>36</v>
      </c>
      <c r="C13" s="9" t="s">
        <v>37</v>
      </c>
      <c r="D13" s="9" t="s">
        <v>22</v>
      </c>
      <c r="E13" s="9" t="s">
        <v>8</v>
      </c>
      <c r="F13" s="10">
        <v>45730</v>
      </c>
      <c r="G13" s="9" t="s">
        <v>38</v>
      </c>
      <c r="H13" s="11">
        <v>49800</v>
      </c>
      <c r="I13" s="9">
        <v>37.700000000000003</v>
      </c>
      <c r="J13" s="2" t="e">
        <f t="array" aca="1" ref="J13" ca="1">XLOOKUP(G13,Sheet2!$A$2:$A$11,Sheet2!$B$2:$B$11)</f>
        <v>#NAME?</v>
      </c>
      <c r="M13" s="15"/>
      <c r="N13" s="15"/>
      <c r="O13" s="15"/>
    </row>
    <row r="14" spans="2:15" ht="14.25" customHeight="1">
      <c r="B14" s="9" t="s">
        <v>39</v>
      </c>
      <c r="C14" s="9" t="s">
        <v>40</v>
      </c>
      <c r="D14" s="9" t="s">
        <v>7</v>
      </c>
      <c r="E14" s="9" t="s">
        <v>27</v>
      </c>
      <c r="F14" s="10">
        <v>45293</v>
      </c>
      <c r="G14" s="9" t="s">
        <v>24</v>
      </c>
      <c r="H14" s="11">
        <v>33000</v>
      </c>
      <c r="I14" s="9">
        <v>31.8</v>
      </c>
      <c r="J14" s="2" t="e">
        <f t="array" aca="1" ref="J14" ca="1">XLOOKUP(G14,Sheet2!$A$2:$A$11,Sheet2!$B$2:$B$11)</f>
        <v>#NAME?</v>
      </c>
      <c r="M14" s="15"/>
      <c r="N14" s="15"/>
      <c r="O14" s="15"/>
    </row>
    <row r="15" spans="2:15" ht="14.25" customHeight="1">
      <c r="B15" s="9" t="s">
        <v>41</v>
      </c>
      <c r="C15" s="9" t="s">
        <v>3</v>
      </c>
      <c r="D15" s="9" t="s">
        <v>22</v>
      </c>
      <c r="E15" s="9" t="s">
        <v>23</v>
      </c>
      <c r="F15" s="10">
        <v>44761</v>
      </c>
      <c r="G15" s="9" t="s">
        <v>42</v>
      </c>
      <c r="H15" s="11">
        <v>41900</v>
      </c>
      <c r="I15" s="9">
        <v>35.9</v>
      </c>
      <c r="J15" s="2" t="e">
        <f t="array" aca="1" ref="J15" ca="1">XLOOKUP(G15,Sheet2!$A$2:$A$11,Sheet2!$B$2:$B$11)</f>
        <v>#NAME?</v>
      </c>
      <c r="M15" s="15"/>
      <c r="N15" s="15"/>
      <c r="O15" s="15"/>
    </row>
    <row r="16" spans="2:15" ht="14.25" customHeight="1">
      <c r="B16" s="9" t="s">
        <v>43</v>
      </c>
      <c r="C16" s="9" t="s">
        <v>44</v>
      </c>
      <c r="D16" s="9" t="s">
        <v>7</v>
      </c>
      <c r="E16" s="9" t="s">
        <v>8</v>
      </c>
      <c r="F16" s="10">
        <v>45240</v>
      </c>
      <c r="G16" s="9" t="s">
        <v>45</v>
      </c>
      <c r="H16" s="11">
        <v>58100</v>
      </c>
      <c r="I16" s="9">
        <v>31</v>
      </c>
      <c r="J16" s="2" t="e">
        <f t="array" aca="1" ref="J16" ca="1">XLOOKUP(G16,Sheet2!$A$2:$A$11,Sheet2!$B$2:$B$11)</f>
        <v>#NAME?</v>
      </c>
    </row>
    <row r="17" spans="2:10" ht="14.25" customHeight="1">
      <c r="B17" s="9" t="s">
        <v>46</v>
      </c>
      <c r="C17" s="9" t="s">
        <v>47</v>
      </c>
      <c r="D17" s="9" t="s">
        <v>7</v>
      </c>
      <c r="E17" s="9" t="s">
        <v>34</v>
      </c>
      <c r="F17" s="10">
        <v>44372</v>
      </c>
      <c r="G17" s="9" t="s">
        <v>48</v>
      </c>
      <c r="H17" s="11">
        <v>82900</v>
      </c>
      <c r="I17" s="9">
        <v>31.1</v>
      </c>
      <c r="J17" s="2" t="e">
        <f t="array" aca="1" ref="J17" ca="1">XLOOKUP(G17,Sheet2!$A$2:$A$11,Sheet2!$B$2:$B$11)</f>
        <v>#NAME?</v>
      </c>
    </row>
    <row r="18" spans="2:10" ht="14.25" customHeight="1">
      <c r="B18" s="9" t="s">
        <v>49</v>
      </c>
      <c r="C18" s="9" t="s">
        <v>50</v>
      </c>
      <c r="D18" s="9" t="s">
        <v>7</v>
      </c>
      <c r="E18" s="9" t="s">
        <v>27</v>
      </c>
      <c r="F18" s="10">
        <v>45508</v>
      </c>
      <c r="G18" s="9" t="s">
        <v>28</v>
      </c>
      <c r="H18" s="11">
        <v>28900</v>
      </c>
      <c r="I18" s="9">
        <v>30.3</v>
      </c>
      <c r="J18" s="2" t="e">
        <f t="array" aca="1" ref="J18" ca="1">XLOOKUP(G18,Sheet2!$A$2:$A$11,Sheet2!$B$2:$B$11)</f>
        <v>#NAME?</v>
      </c>
    </row>
    <row r="19" spans="2:10" ht="14.25" customHeight="1">
      <c r="B19" s="9" t="s">
        <v>51</v>
      </c>
      <c r="C19" s="9" t="s">
        <v>52</v>
      </c>
      <c r="D19" s="9" t="s">
        <v>7</v>
      </c>
      <c r="E19" s="9" t="s">
        <v>23</v>
      </c>
      <c r="F19" s="10">
        <v>44609</v>
      </c>
      <c r="G19" s="9" t="s">
        <v>24</v>
      </c>
      <c r="H19" s="11">
        <v>37300</v>
      </c>
      <c r="I19" s="9">
        <v>35</v>
      </c>
      <c r="J19" s="2" t="e">
        <f t="array" aca="1" ref="J19" ca="1">XLOOKUP(G19,Sheet2!$A$2:$A$11,Sheet2!$B$2:$B$11)</f>
        <v>#NAME?</v>
      </c>
    </row>
    <row r="20" spans="2:10" ht="14.25" customHeight="1">
      <c r="B20" s="9" t="s">
        <v>53</v>
      </c>
      <c r="C20" s="9" t="s">
        <v>54</v>
      </c>
      <c r="D20" s="9" t="s">
        <v>7</v>
      </c>
      <c r="E20" s="9" t="s">
        <v>8</v>
      </c>
      <c r="F20" s="10">
        <v>45229</v>
      </c>
      <c r="G20" s="9" t="s">
        <v>9</v>
      </c>
      <c r="H20" s="11">
        <v>52700</v>
      </c>
      <c r="I20" s="9">
        <v>28.5</v>
      </c>
      <c r="J20" s="2" t="e">
        <f t="array" aca="1" ref="J20" ca="1">XLOOKUP(G20,Sheet2!$A$2:$A$11,Sheet2!$B$2:$B$11)</f>
        <v>#NAME?</v>
      </c>
    </row>
    <row r="21" spans="2:10" ht="14.25" customHeight="1">
      <c r="B21" s="9" t="s">
        <v>55</v>
      </c>
      <c r="C21" s="9" t="s">
        <v>56</v>
      </c>
      <c r="D21" s="9" t="s">
        <v>22</v>
      </c>
      <c r="E21" s="9" t="s">
        <v>34</v>
      </c>
      <c r="F21" s="10">
        <v>44086</v>
      </c>
      <c r="G21" s="9" t="s">
        <v>57</v>
      </c>
      <c r="H21" s="11">
        <v>74700</v>
      </c>
      <c r="I21" s="9">
        <v>52.4</v>
      </c>
      <c r="J21" s="2" t="e">
        <f t="array" aca="1" ref="J21" ca="1">XLOOKUP(G21,Sheet2!$A$2:$A$11,Sheet2!$B$2:$B$11)</f>
        <v>#NAME?</v>
      </c>
    </row>
    <row r="22" spans="2:10" ht="14.25" customHeight="1">
      <c r="B22" s="9" t="s">
        <v>58</v>
      </c>
      <c r="C22" s="9" t="s">
        <v>59</v>
      </c>
      <c r="D22" s="9" t="s">
        <v>7</v>
      </c>
      <c r="E22" s="9" t="s">
        <v>8</v>
      </c>
      <c r="F22" s="10">
        <v>44260</v>
      </c>
      <c r="G22" s="9" t="s">
        <v>45</v>
      </c>
      <c r="H22" s="11">
        <v>55600</v>
      </c>
      <c r="I22" s="9">
        <v>35.4</v>
      </c>
      <c r="J22" s="2" t="e">
        <f t="array" aca="1" ref="J22" ca="1">XLOOKUP(G22,Sheet2!$A$2:$A$11,Sheet2!$B$2:$B$11)</f>
        <v>#NAME?</v>
      </c>
    </row>
    <row r="23" spans="2:10" ht="14.25" customHeight="1">
      <c r="B23" s="9" t="s">
        <v>60</v>
      </c>
      <c r="C23" s="9" t="s">
        <v>61</v>
      </c>
      <c r="D23" s="9" t="s">
        <v>7</v>
      </c>
      <c r="E23" s="9" t="s">
        <v>27</v>
      </c>
      <c r="F23" s="10">
        <v>45433</v>
      </c>
      <c r="G23" s="9" t="s">
        <v>28</v>
      </c>
      <c r="H23" s="11">
        <v>32900</v>
      </c>
      <c r="I23" s="9">
        <v>29.8</v>
      </c>
      <c r="J23" s="2" t="e">
        <f t="array" aca="1" ref="J23" ca="1">XLOOKUP(G23,Sheet2!$A$2:$A$11,Sheet2!$B$2:$B$11)</f>
        <v>#NAME?</v>
      </c>
    </row>
    <row r="24" spans="2:10" ht="14.25" customHeight="1">
      <c r="B24" s="9" t="s">
        <v>62</v>
      </c>
      <c r="C24" s="9" t="s">
        <v>63</v>
      </c>
      <c r="D24" s="9" t="s">
        <v>22</v>
      </c>
      <c r="E24" s="9" t="s">
        <v>23</v>
      </c>
      <c r="F24" s="10">
        <v>45146</v>
      </c>
      <c r="G24" s="9" t="s">
        <v>42</v>
      </c>
      <c r="H24" s="11">
        <v>41500</v>
      </c>
      <c r="I24" s="9">
        <v>32.299999999999997</v>
      </c>
      <c r="J24" s="2" t="e">
        <f t="array" aca="1" ref="J24" ca="1">XLOOKUP(G24,Sheet2!$A$2:$A$11,Sheet2!$B$2:$B$11)</f>
        <v>#NAME?</v>
      </c>
    </row>
    <row r="25" spans="2:10" ht="14.25" customHeight="1">
      <c r="B25" s="9" t="s">
        <v>64</v>
      </c>
      <c r="C25" s="9" t="s">
        <v>65</v>
      </c>
      <c r="D25" s="9" t="s">
        <v>7</v>
      </c>
      <c r="E25" s="9" t="s">
        <v>8</v>
      </c>
      <c r="F25" s="10">
        <v>44888</v>
      </c>
      <c r="G25" s="9" t="s">
        <v>38</v>
      </c>
      <c r="H25" s="11">
        <v>49400</v>
      </c>
      <c r="I25" s="9">
        <v>31.1</v>
      </c>
      <c r="J25" s="2" t="e">
        <f t="array" aca="1" ref="J25" ca="1">XLOOKUP(G25,Sheet2!$A$2:$A$11,Sheet2!$B$2:$B$11)</f>
        <v>#NAME?</v>
      </c>
    </row>
    <row r="26" spans="2:10" ht="14.25" customHeight="1">
      <c r="B26" s="9" t="s">
        <v>66</v>
      </c>
      <c r="C26" s="9" t="s">
        <v>67</v>
      </c>
      <c r="D26" s="9" t="s">
        <v>7</v>
      </c>
      <c r="E26" s="9" t="s">
        <v>34</v>
      </c>
      <c r="F26" s="10">
        <v>43661</v>
      </c>
      <c r="G26" s="9" t="s">
        <v>48</v>
      </c>
      <c r="H26" s="11">
        <v>82700</v>
      </c>
      <c r="I26" s="9">
        <v>33.5</v>
      </c>
      <c r="J26" s="2" t="e">
        <f t="array" aca="1" ref="J26" ca="1">XLOOKUP(G26,Sheet2!$A$2:$A$11,Sheet2!$B$2:$B$11)</f>
        <v>#NAME?</v>
      </c>
    </row>
    <row r="27" spans="2:10" ht="14.25" customHeight="1">
      <c r="B27" s="9" t="s">
        <v>68</v>
      </c>
      <c r="C27" s="9" t="s">
        <v>69</v>
      </c>
      <c r="D27" s="9" t="s">
        <v>22</v>
      </c>
      <c r="E27" s="9" t="s">
        <v>27</v>
      </c>
      <c r="F27" s="10">
        <v>45381</v>
      </c>
      <c r="G27" s="9" t="s">
        <v>24</v>
      </c>
      <c r="H27" s="11">
        <v>38200</v>
      </c>
      <c r="I27" s="9">
        <v>31.1</v>
      </c>
      <c r="J27" s="2" t="e">
        <f t="array" aca="1" ref="J27" ca="1">XLOOKUP(G27,Sheet2!$A$2:$A$11,Sheet2!$B$2:$B$11)</f>
        <v>#NAME?</v>
      </c>
    </row>
    <row r="28" spans="2:10" ht="14.25" customHeight="1">
      <c r="B28" s="9" t="s">
        <v>70</v>
      </c>
      <c r="C28" s="9" t="s">
        <v>71</v>
      </c>
      <c r="D28" s="9" t="s">
        <v>7</v>
      </c>
      <c r="E28" s="9" t="s">
        <v>23</v>
      </c>
      <c r="F28" s="10">
        <v>44443</v>
      </c>
      <c r="G28" s="9" t="s">
        <v>28</v>
      </c>
      <c r="H28" s="11">
        <v>32600</v>
      </c>
      <c r="I28" s="9">
        <v>31.5</v>
      </c>
      <c r="J28" s="2" t="e">
        <f t="array" aca="1" ref="J28" ca="1">XLOOKUP(G28,Sheet2!$A$2:$A$11,Sheet2!$B$2:$B$11)</f>
        <v>#NAME?</v>
      </c>
    </row>
    <row r="29" spans="2:10" ht="14.25" customHeight="1">
      <c r="B29" s="9" t="s">
        <v>72</v>
      </c>
      <c r="C29" s="9" t="s">
        <v>73</v>
      </c>
      <c r="D29" s="9" t="s">
        <v>7</v>
      </c>
      <c r="E29" s="9" t="s">
        <v>8</v>
      </c>
      <c r="F29" s="10">
        <v>44001</v>
      </c>
      <c r="G29" s="9" t="s">
        <v>35</v>
      </c>
      <c r="H29" s="11">
        <v>76800</v>
      </c>
      <c r="I29" s="9">
        <v>32.700000000000003</v>
      </c>
      <c r="J29" s="2" t="e">
        <f t="array" aca="1" ref="J29" ca="1">XLOOKUP(G29,Sheet2!$A$2:$A$11,Sheet2!$B$2:$B$11)</f>
        <v>#NAME?</v>
      </c>
    </row>
    <row r="30" spans="2:10" ht="14.25" customHeight="1">
      <c r="B30" s="9" t="s">
        <v>74</v>
      </c>
      <c r="C30" s="9" t="s">
        <v>75</v>
      </c>
      <c r="D30" s="9" t="s">
        <v>7</v>
      </c>
      <c r="E30" s="9" t="s">
        <v>34</v>
      </c>
      <c r="F30" s="10">
        <v>44933</v>
      </c>
      <c r="G30" s="9" t="s">
        <v>31</v>
      </c>
      <c r="H30" s="11">
        <v>62300</v>
      </c>
      <c r="I30" s="9">
        <v>33.799999999999997</v>
      </c>
      <c r="J30" s="2" t="e">
        <f t="array" aca="1" ref="J30" ca="1">XLOOKUP(G30,Sheet2!$A$2:$A$11,Sheet2!$B$2:$B$11)</f>
        <v>#NAME?</v>
      </c>
    </row>
    <row r="31" spans="2:10" ht="14.25" customHeight="1">
      <c r="B31" s="9" t="s">
        <v>76</v>
      </c>
      <c r="C31" s="9" t="s">
        <v>77</v>
      </c>
      <c r="D31" s="9" t="s">
        <v>7</v>
      </c>
      <c r="E31" s="9" t="s">
        <v>8</v>
      </c>
      <c r="F31" s="10">
        <v>44798</v>
      </c>
      <c r="G31" s="9" t="s">
        <v>38</v>
      </c>
      <c r="H31" s="11">
        <v>46200</v>
      </c>
      <c r="I31" s="9">
        <v>30.1</v>
      </c>
      <c r="J31" s="2" t="e">
        <f t="array" aca="1" ref="J31" ca="1">XLOOKUP(G31,Sheet2!$A$2:$A$11,Sheet2!$B$2:$B$11)</f>
        <v>#NAME?</v>
      </c>
    </row>
    <row r="32" spans="2:10" ht="14.25" customHeight="1">
      <c r="B32" s="9" t="s">
        <v>78</v>
      </c>
      <c r="C32" s="9" t="s">
        <v>79</v>
      </c>
      <c r="D32" s="9" t="s">
        <v>22</v>
      </c>
      <c r="E32" s="9" t="s">
        <v>27</v>
      </c>
      <c r="F32" s="10">
        <v>45700</v>
      </c>
      <c r="G32" s="9" t="s">
        <v>28</v>
      </c>
      <c r="H32" s="11">
        <v>32500</v>
      </c>
      <c r="I32" s="9">
        <v>63.7</v>
      </c>
      <c r="J32" s="2" t="e">
        <f t="array" aca="1" ref="J32" ca="1">XLOOKUP(G32,Sheet2!$A$2:$A$11,Sheet2!$B$2:$B$11)</f>
        <v>#NAME?</v>
      </c>
    </row>
    <row r="33" spans="2:10" ht="14.25" customHeight="1">
      <c r="B33" s="9" t="s">
        <v>80</v>
      </c>
      <c r="C33" s="9" t="s">
        <v>81</v>
      </c>
      <c r="D33" s="9" t="s">
        <v>22</v>
      </c>
      <c r="E33" s="9" t="s">
        <v>23</v>
      </c>
      <c r="F33" s="10">
        <v>45597</v>
      </c>
      <c r="G33" s="9" t="s">
        <v>42</v>
      </c>
      <c r="H33" s="11">
        <v>43100</v>
      </c>
      <c r="I33" s="9">
        <v>33.799999999999997</v>
      </c>
      <c r="J33" s="2" t="e">
        <f t="array" aca="1" ref="J33" ca="1">XLOOKUP(G33,Sheet2!$A$2:$A$11,Sheet2!$B$2:$B$11)</f>
        <v>#NAME?</v>
      </c>
    </row>
    <row r="34" spans="2:10" ht="14.25" customHeight="1">
      <c r="B34" s="9" t="s">
        <v>82</v>
      </c>
      <c r="C34" s="9" t="s">
        <v>83</v>
      </c>
      <c r="D34" s="9" t="s">
        <v>22</v>
      </c>
      <c r="E34" s="9" t="s">
        <v>8</v>
      </c>
      <c r="F34" s="10">
        <v>44302</v>
      </c>
      <c r="G34" s="9" t="s">
        <v>45</v>
      </c>
      <c r="H34" s="11">
        <v>60000</v>
      </c>
      <c r="I34" s="9">
        <v>28.8</v>
      </c>
      <c r="J34" s="2" t="e">
        <f t="array" aca="1" ref="J34" ca="1">XLOOKUP(G34,Sheet2!$A$2:$A$11,Sheet2!$B$2:$B$11)</f>
        <v>#NAME?</v>
      </c>
    </row>
    <row r="35" spans="2:10" ht="14.25" customHeight="1">
      <c r="B35" s="9" t="s">
        <v>84</v>
      </c>
      <c r="C35" s="9" t="s">
        <v>85</v>
      </c>
      <c r="D35" s="9" t="s">
        <v>7</v>
      </c>
      <c r="E35" s="9" t="s">
        <v>34</v>
      </c>
      <c r="F35" s="10">
        <v>44113</v>
      </c>
      <c r="G35" s="9" t="s">
        <v>48</v>
      </c>
      <c r="H35" s="11">
        <v>82100</v>
      </c>
      <c r="I35" s="9">
        <v>32.700000000000003</v>
      </c>
      <c r="J35" s="2" t="e">
        <f t="array" aca="1" ref="J35" ca="1">XLOOKUP(G35,Sheet2!$A$2:$A$11,Sheet2!$B$2:$B$11)</f>
        <v>#NAME?</v>
      </c>
    </row>
    <row r="36" spans="2:10" ht="14.25" customHeight="1">
      <c r="B36" s="9" t="s">
        <v>86</v>
      </c>
      <c r="C36" s="9" t="s">
        <v>87</v>
      </c>
      <c r="D36" s="9" t="s">
        <v>7</v>
      </c>
      <c r="E36" s="9" t="s">
        <v>27</v>
      </c>
      <c r="F36" s="10">
        <v>45803</v>
      </c>
      <c r="G36" s="9" t="s">
        <v>24</v>
      </c>
      <c r="H36" s="11">
        <v>35900</v>
      </c>
      <c r="I36" s="9">
        <v>29.9</v>
      </c>
      <c r="J36" s="2" t="e">
        <f t="array" aca="1" ref="J36" ca="1">XLOOKUP(G36,Sheet2!$A$2:$A$11,Sheet2!$B$2:$B$11)</f>
        <v>#NAME?</v>
      </c>
    </row>
    <row r="37" spans="2:10" ht="14.25" customHeight="1">
      <c r="B37" s="9" t="s">
        <v>88</v>
      </c>
      <c r="C37" s="9" t="s">
        <v>89</v>
      </c>
      <c r="D37" s="9" t="s">
        <v>7</v>
      </c>
      <c r="E37" s="9" t="s">
        <v>23</v>
      </c>
      <c r="F37" s="10">
        <v>44574</v>
      </c>
      <c r="G37" s="9" t="s">
        <v>28</v>
      </c>
      <c r="H37" s="11">
        <v>31100</v>
      </c>
      <c r="I37" s="9">
        <v>27</v>
      </c>
      <c r="J37" s="2" t="e">
        <f t="array" aca="1" ref="J37" ca="1">XLOOKUP(G37,Sheet2!$A$2:$A$11,Sheet2!$B$2:$B$11)</f>
        <v>#NAME?</v>
      </c>
    </row>
    <row r="38" spans="2:10" ht="14.25" customHeight="1">
      <c r="B38" s="9" t="s">
        <v>90</v>
      </c>
      <c r="C38" s="9" t="s">
        <v>91</v>
      </c>
      <c r="D38" s="9" t="s">
        <v>7</v>
      </c>
      <c r="E38" s="9" t="s">
        <v>8</v>
      </c>
      <c r="F38" s="10">
        <v>44039</v>
      </c>
      <c r="G38" s="9" t="s">
        <v>57</v>
      </c>
      <c r="H38" s="11">
        <v>74200</v>
      </c>
      <c r="I38" s="9">
        <v>30.6</v>
      </c>
      <c r="J38" s="2" t="e">
        <f t="array" aca="1" ref="J38" ca="1">XLOOKUP(G38,Sheet2!$A$2:$A$11,Sheet2!$B$2:$B$11)</f>
        <v>#NAME?</v>
      </c>
    </row>
    <row r="39" spans="2:10" ht="14.25" customHeight="1">
      <c r="B39" s="9" t="s">
        <v>92</v>
      </c>
      <c r="C39" s="9" t="s">
        <v>93</v>
      </c>
      <c r="D39" s="9" t="s">
        <v>7</v>
      </c>
      <c r="E39" s="9" t="s">
        <v>34</v>
      </c>
      <c r="F39" s="10">
        <v>44269</v>
      </c>
      <c r="G39" s="9" t="s">
        <v>45</v>
      </c>
      <c r="H39" s="11">
        <v>57100</v>
      </c>
      <c r="I39" s="9">
        <v>28.7</v>
      </c>
      <c r="J39" s="2" t="e">
        <f t="array" aca="1" ref="J39" ca="1">XLOOKUP(G39,Sheet2!$A$2:$A$11,Sheet2!$B$2:$B$11)</f>
        <v>#NAME?</v>
      </c>
    </row>
    <row r="40" spans="2:10" ht="14.25" customHeight="1">
      <c r="B40" s="9" t="s">
        <v>94</v>
      </c>
      <c r="C40" s="9" t="s">
        <v>95</v>
      </c>
      <c r="D40" s="9" t="s">
        <v>7</v>
      </c>
      <c r="E40" s="9" t="s">
        <v>27</v>
      </c>
      <c r="F40" s="10">
        <v>45563</v>
      </c>
      <c r="G40" s="9" t="s">
        <v>28</v>
      </c>
      <c r="H40" s="11">
        <v>35200</v>
      </c>
      <c r="I40" s="9">
        <v>33.700000000000003</v>
      </c>
      <c r="J40" s="2" t="e">
        <f t="array" aca="1" ref="J40" ca="1">XLOOKUP(G40,Sheet2!$A$2:$A$11,Sheet2!$B$2:$B$11)</f>
        <v>#NAME?</v>
      </c>
    </row>
    <row r="41" spans="2:10" ht="14.25" customHeight="1">
      <c r="B41" s="9" t="s">
        <v>96</v>
      </c>
      <c r="C41" s="9" t="s">
        <v>97</v>
      </c>
      <c r="D41" s="9" t="s">
        <v>7</v>
      </c>
      <c r="E41" s="9" t="s">
        <v>23</v>
      </c>
      <c r="F41" s="10">
        <v>45027</v>
      </c>
      <c r="G41" s="9" t="s">
        <v>42</v>
      </c>
      <c r="H41" s="11">
        <v>42800</v>
      </c>
      <c r="I41" s="9">
        <v>31.2</v>
      </c>
      <c r="J41" s="2" t="e">
        <f t="array" aca="1" ref="J41" ca="1">XLOOKUP(G41,Sheet2!$A$2:$A$11,Sheet2!$B$2:$B$11)</f>
        <v>#NAME?</v>
      </c>
    </row>
    <row r="42" spans="2:10" ht="14.25" customHeight="1">
      <c r="B42" s="9" t="s">
        <v>98</v>
      </c>
      <c r="C42" s="9" t="s">
        <v>99</v>
      </c>
      <c r="D42" s="9" t="s">
        <v>7</v>
      </c>
      <c r="E42" s="9" t="s">
        <v>8</v>
      </c>
      <c r="F42" s="10">
        <v>44587</v>
      </c>
      <c r="G42" s="9" t="s">
        <v>38</v>
      </c>
      <c r="H42" s="11">
        <v>46900</v>
      </c>
      <c r="I42" s="9">
        <v>34.9</v>
      </c>
      <c r="J42" s="2" t="e">
        <f t="array" aca="1" ref="J42" ca="1">XLOOKUP(G42,Sheet2!$A$2:$A$11,Sheet2!$B$2:$B$11)</f>
        <v>#NAME?</v>
      </c>
    </row>
    <row r="43" spans="2:10" ht="14.25" customHeight="1"/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5:O15"/>
  </mergeCells>
  <dataValidations count="2">
    <dataValidation type="list" allowBlank="1" showErrorMessage="1" sqref="C3" xr:uid="{00000000-0002-0000-0000-000000000000}">
      <formula1>$B$8:$B$42</formula1>
    </dataValidation>
    <dataValidation type="list" allowBlank="1" showErrorMessage="1" sqref="G3" xr:uid="{00000000-0002-0000-0000-000001000000}">
      <formula1>$C$8:$C$42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"/>
  <sheetViews>
    <sheetView workbookViewId="0"/>
  </sheetViews>
  <sheetFormatPr defaultColWidth="14.44140625" defaultRowHeight="15" customHeight="1"/>
  <cols>
    <col min="1" max="1" width="20.5546875" customWidth="1"/>
    <col min="2" max="2" width="19" customWidth="1"/>
  </cols>
  <sheetData>
    <row r="1" spans="1:2">
      <c r="A1" s="12" t="s">
        <v>15</v>
      </c>
      <c r="B1" s="12" t="s">
        <v>100</v>
      </c>
    </row>
    <row r="2" spans="1:2">
      <c r="A2" s="13" t="s">
        <v>9</v>
      </c>
      <c r="B2" s="13" t="s">
        <v>10</v>
      </c>
    </row>
    <row r="3" spans="1:2">
      <c r="A3" s="13" t="s">
        <v>24</v>
      </c>
      <c r="B3" s="13" t="s">
        <v>101</v>
      </c>
    </row>
    <row r="4" spans="1:2">
      <c r="A4" s="13" t="s">
        <v>28</v>
      </c>
      <c r="B4" s="13" t="s">
        <v>102</v>
      </c>
    </row>
    <row r="5" spans="1:2">
      <c r="A5" s="13" t="s">
        <v>31</v>
      </c>
      <c r="B5" s="13" t="s">
        <v>103</v>
      </c>
    </row>
    <row r="6" spans="1:2">
      <c r="A6" s="13" t="s">
        <v>35</v>
      </c>
      <c r="B6" s="13" t="s">
        <v>104</v>
      </c>
    </row>
    <row r="7" spans="1:2">
      <c r="A7" s="13" t="s">
        <v>38</v>
      </c>
      <c r="B7" s="13" t="s">
        <v>102</v>
      </c>
    </row>
    <row r="8" spans="1:2">
      <c r="A8" s="13" t="s">
        <v>42</v>
      </c>
      <c r="B8" s="13" t="s">
        <v>105</v>
      </c>
    </row>
    <row r="9" spans="1:2">
      <c r="A9" s="13" t="s">
        <v>45</v>
      </c>
      <c r="B9" s="13" t="s">
        <v>106</v>
      </c>
    </row>
    <row r="10" spans="1:2">
      <c r="A10" s="13" t="s">
        <v>48</v>
      </c>
      <c r="B10" s="13" t="s">
        <v>107</v>
      </c>
    </row>
    <row r="11" spans="1:2">
      <c r="A11" s="13" t="s">
        <v>57</v>
      </c>
      <c r="B11" s="1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Atyyyychos</dc:creator>
  <cp:lastModifiedBy>abhishek luitel</cp:lastModifiedBy>
  <dcterms:created xsi:type="dcterms:W3CDTF">2026-04-30T18:19:46Z</dcterms:created>
  <dcterms:modified xsi:type="dcterms:W3CDTF">2026-04-30T18:19:46Z</dcterms:modified>
</cp:coreProperties>
</file>